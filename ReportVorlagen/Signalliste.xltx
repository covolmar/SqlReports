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\SVN\Rel_21300\WinKP_2x\Rittmeyer.WinKP.SqlReports\ReportVorlagen\"/>
    </mc:Choice>
  </mc:AlternateContent>
  <xr:revisionPtr revIDLastSave="0" documentId="10_ncr:100000_{C9584E3E-A4FD-499A-BD4D-5B59754885B8}" xr6:coauthVersionLast="31" xr6:coauthVersionMax="31" xr10:uidLastSave="{00000000-0000-0000-0000-000000000000}"/>
  <bookViews>
    <workbookView xWindow="0" yWindow="0" windowWidth="28800" windowHeight="11235" xr2:uid="{00000000-000D-0000-FFFF-FFFF00000000}"/>
  </bookViews>
  <sheets>
    <sheet name="Signalliste" sheetId="2" r:id="rId1"/>
    <sheet name="StationModel" sheetId="3" r:id="rId2"/>
    <sheet name="Definitions" sheetId="4" r:id="rId3"/>
    <sheet name="AK DPE-Liste" sheetId="5" state="hidden" r:id="rId4"/>
  </sheets>
  <definedNames>
    <definedName name="_xlnm._FilterDatabase" localSheetId="0" hidden="1">Signalliste!$A$1:$DN$3</definedName>
    <definedName name="dpElement">INDEX(dpList,,MATCH(INDIRECT(ADDRESS(ROW(),MATCH("*ritop_dp_type*",INDIRECT("2:2"),0))),dpTypes))</definedName>
    <definedName name="dpList">INDIRECT("'AK DPE-Liste'!$1:$1048576")</definedName>
    <definedName name="dpTypes">INDIRECT("'AK DPE-Liste'!$1:$1")</definedName>
    <definedName name="IFDef">INDIRECT("'StationModel'!$H:$H")</definedName>
    <definedName name="measuredef">INDIRECT("'StationModel'!$F:$F")</definedName>
    <definedName name="Z_3E6570BA_52BC_4AD7_92FF_4B9FD4DD1016_.wvu.Cols" localSheetId="0" hidden="1">Signalliste!#REF!,Signalliste!$AF:$AH,Signalliste!#REF!,Signalliste!$BB:$BG,Signalliste!$BI:$BL,Signalliste!#REF!,Signalliste!#REF!,Signalliste!#REF!,Signalliste!#REF!,Signalliste!#REF!,Signalliste!#REF!,Signalliste!#REF!,Signalliste!$CD:$CD,Signalliste!$CP:$CW</definedName>
    <definedName name="Z_3E6570BA_52BC_4AD7_92FF_4B9FD4DD1016_.wvu.FilterData" localSheetId="0" hidden="1">Signalliste!$A$1:$DB$3</definedName>
    <definedName name="Z_3E6570BA_52BC_4AD7_92FF_4B9FD4DD1016_.wvu.Rows" localSheetId="0" hidden="1">Signalliste!$2:$2</definedName>
    <definedName name="Z_42017843_BAE6_40F4_8919_C314A15BCFD1_.wvu.Cols" localSheetId="0" hidden="1">Signalliste!#REF!,Signalliste!$AF:$AH,Signalliste!#REF!,Signalliste!$BB:$BG,Signalliste!$BI:$BL,Signalliste!#REF!,Signalliste!#REF!,Signalliste!#REF!,Signalliste!#REF!,Signalliste!#REF!,Signalliste!#REF!,Signalliste!#REF!</definedName>
    <definedName name="Z_42017843_BAE6_40F4_8919_C314A15BCFD1_.wvu.FilterData" localSheetId="0" hidden="1">Signalliste!$A$1:$DB$3</definedName>
    <definedName name="Z_42017843_BAE6_40F4_8919_C314A15BCFD1_.wvu.Rows" localSheetId="0" hidden="1">Signalliste!$2:$2</definedName>
    <definedName name="Z_BB0E9295_9BA4_409C_AA71_F7B0BDA79DE4_.wvu.Cols" localSheetId="0" hidden="1">Signalliste!#REF!,Signalliste!$AF:$AH,Signalliste!#REF!,Signalliste!$BB:$BG,Signalliste!$BI:$BL,Signalliste!#REF!,Signalliste!#REF!,Signalliste!#REF!,Signalliste!#REF!,Signalliste!#REF!,Signalliste!#REF!,Signalliste!#REF!</definedName>
    <definedName name="Z_BB0E9295_9BA4_409C_AA71_F7B0BDA79DE4_.wvu.FilterData" localSheetId="0" hidden="1">Signalliste!$A$1:$DB$3</definedName>
    <definedName name="Z_BB0E9295_9BA4_409C_AA71_F7B0BDA79DE4_.wvu.Rows" localSheetId="0" hidden="1">Signalliste!$2:$2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J1" i="2"/>
  <c r="I1" i="2"/>
  <c r="H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Postolov Aleksandar</author>
    <author>Mattle Stefan</author>
  </authors>
  <commentList>
    <comment ref="A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NONE = 0
AVG  = 1
END  = 2
MIN  = 3
MAX  = 4</t>
        </r>
      </text>
    </comment>
    <comment ref="AV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VAR oder leer für die Hauptvariable eines DP.
Hilfsvariablen:
LZ: Live-Zero Variable
OV: Overflow Variable
IMP: Impulslänge Variable
ERR: Fehler Variable bei Code Eingängen</t>
        </r>
      </text>
    </comment>
    <comment ref="BI1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Postolov Aleksandar:
TYK Kurven-Daten mit 6 Stützpunkten:  
</t>
        </r>
        <r>
          <rPr>
            <sz val="9"/>
            <color indexed="10"/>
            <rFont val="Tahoma"/>
            <family val="2"/>
          </rPr>
          <t>x-Werte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1"/>
            <rFont val="Tahoma"/>
            <family val="2"/>
          </rPr>
          <t xml:space="preserve">y-Werte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TYK Bsp:  
</t>
        </r>
        <r>
          <rPr>
            <sz val="9"/>
            <color indexed="10"/>
            <rFont val="Tahoma"/>
            <family val="2"/>
          </rPr>
          <t>00:00:00;00:00:15; 00:00:30; 00:00:45; 00:01:00; 00:01:15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1"/>
            <rFont val="Tahoma"/>
            <family val="2"/>
          </rPr>
          <t xml:space="preserve">0.01;0.03;0.07;0.12;0.018;0.27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XYK Kurven-Daten mit 6 Stützpunkten: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x-Werte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1"/>
            <rFont val="Tahoma"/>
            <family val="2"/>
          </rPr>
          <t xml:space="preserve">y-Werte </t>
        </r>
        <r>
          <rPr>
            <sz val="9"/>
            <color indexed="81"/>
            <rFont val="Tahoma"/>
            <family val="2"/>
          </rPr>
          <t xml:space="preserve">
XYK Bsp: 
</t>
        </r>
        <r>
          <rPr>
            <sz val="9"/>
            <color indexed="10"/>
            <rFont val="Tahoma"/>
            <family val="2"/>
          </rPr>
          <t>0;10;20;30;40;50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1"/>
            <rFont val="Tahoma"/>
            <family val="2"/>
          </rPr>
          <t>0.01;0.03;0.07;0.12;0.018;0.27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XYS Kurven-Daten mit 3 Kurven à 6 Stützpunkte: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2"/>
            <rFont val="Tahoma"/>
            <family val="2"/>
          </rPr>
          <t>Kurvennummer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0"/>
            <rFont val="Tahoma"/>
            <family val="2"/>
          </rPr>
          <t>x-Werte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1"/>
            <rFont val="Tahoma"/>
            <family val="2"/>
          </rPr>
          <t xml:space="preserve">y-Werte </t>
        </r>
        <r>
          <rPr>
            <sz val="9"/>
            <color indexed="81"/>
            <rFont val="Tahoma"/>
            <family val="2"/>
          </rPr>
          <t xml:space="preserve">
XYS Bsp: 
</t>
        </r>
        <r>
          <rPr>
            <sz val="9"/>
            <color indexed="12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0"/>
            <rFont val="Tahoma"/>
            <family val="2"/>
          </rPr>
          <t>0;10;20;30;40;50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1"/>
            <rFont val="Tahoma"/>
            <family val="2"/>
          </rPr>
          <t>0.01;0.03;0.07;0.12;0.018;0.27</t>
        </r>
        <r>
          <rPr>
            <sz val="9"/>
            <color indexed="81"/>
            <rFont val="Tahoma"/>
            <family val="2"/>
          </rPr>
          <t>|</t>
        </r>
        <r>
          <rPr>
            <sz val="9"/>
            <color indexed="12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;</t>
        </r>
        <r>
          <rPr>
            <sz val="9"/>
            <color indexed="10"/>
            <rFont val="Tahoma"/>
            <family val="2"/>
          </rPr>
          <t>0;10;20;30;40;50</t>
        </r>
        <r>
          <rPr>
            <sz val="9"/>
            <color indexed="11"/>
            <rFont val="Tahoma"/>
            <family val="2"/>
          </rPr>
          <t>;0.01;0.03;0.07;0.12;0.018;0.27</t>
        </r>
        <r>
          <rPr>
            <sz val="9"/>
            <color indexed="81"/>
            <rFont val="Tahoma"/>
            <family val="2"/>
          </rPr>
          <t>|</t>
        </r>
        <r>
          <rPr>
            <sz val="9"/>
            <color indexed="12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; </t>
        </r>
        <r>
          <rPr>
            <sz val="9"/>
            <color indexed="10"/>
            <rFont val="Tahoma"/>
            <family val="2"/>
          </rPr>
          <t>0;10;20;30;40;50;</t>
        </r>
        <r>
          <rPr>
            <sz val="9"/>
            <color indexed="11"/>
            <rFont val="Tahoma"/>
            <family val="2"/>
          </rPr>
          <t>0.01;0.03;0.07;0.12;0.018;0.27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DYN Elemente mit Komma
 trennen
</t>
        </r>
      </text>
    </comment>
    <comment ref="CI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Anzahl Textblöcke welche für die Objektbezeichnung verwendet werden sollen.
Beispiel:
3 = Bereich Bauwerk Element
4 = Bereich Bauwerk Element Index</t>
        </r>
      </text>
    </comment>
    <comment ref="CK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Ohne Eintrag wird die Zelle mit dem Schlüssel ritop_alert_hdl_text1 ausgewertet.
Falls text1 nicht leer ist, werden die texte0..7 bis zur letzten nicht leeren Zelle eingelesen.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RTP = RIFLEX seriell oder LON
IM1 = RIFLEX über IEC 104
RAP = S7 über RAP
IDS = IDS Fernwirksystem
IEC = IEC 101/104 Fremdsystem
IEC850 = IEC 61850 Fremdsystem</t>
        </r>
      </text>
    </comment>
    <comment ref="CR1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Der Subindex kommt bei Verbindungen zu RIFLEX aus dem WinKP Datensatz und wird nicht importiert.
IEC Fremdsystem:
[leer] = Default Subindex
0..40 siehe PVSS Online Hilfe</t>
        </r>
      </text>
    </comment>
    <comment ref="CS1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Der Offset kommt bei Verbindungen zu RIFLEX aus dem WinKP Datensatz und wird nicht importiert.
IEC Fremdsystem:
[leer] = Default Offset
1..32 bei Bitstring 32 Typen. Details siehe PVSS Online Hilfe</t>
        </r>
      </text>
    </comment>
    <comment ref="CT1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Die Richtungsangabe kommt bei Verbindungen zu RIFLEX aus dem WinKP Datensatz und wird nicht importiert.
IEC Fremdsystem:
2 = Eingang
5 = Ausgang
1..8 siehe PVSS Online Hilfe</t>
        </r>
      </text>
    </comment>
    <comment ref="CU1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Die wertabhängige Glättung der Archivierung wird nur eingeschaltet, wenn bereits ein Archivkonfig vorhanden ist und wirkt nur auf Messwerte.
[leer] = keine Aktion
0      = Glättung löschen
&gt; 0    = Totband der Glättung</t>
        </r>
      </text>
    </comment>
    <comment ref="CY1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3 = Stützpunktkurve
4 = Nullpunktunterdrückung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X-Werte mit | Trennen</t>
        </r>
      </text>
    </comment>
    <comment ref="DB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Y-Werte mit | Trennen</t>
        </r>
      </text>
    </comment>
    <comment ref="DE1" authorId="1" shapeId="0" xr:uid="{00000000-0006-0000-0100-00000F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Falls das Signal ein Alarm ist und im WebMIpro angezeigt werden soll, mit x markieren
</t>
        </r>
      </text>
    </comment>
    <comment ref="DF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Standarprioritäten für WebMIpro
1
2
3</t>
        </r>
      </text>
    </comment>
    <comment ref="DH1" authorId="1" shapeId="0" xr:uid="{00000000-0006-0000-0100-000011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Falls das Signal an eine Externe Partnerstation über IEC101 gesendet/empfangen wird mit x markieren</t>
        </r>
      </text>
    </comment>
    <comment ref="DI1" authorId="1" shapeId="0" xr:uid="{00000000-0006-0000-0100-000012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Falls das Signal an eine Externe Partnerstation über IEC1014gesendet/empfangen wird mit x markieren</t>
        </r>
      </text>
    </comment>
    <comment ref="DJ1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Falls das Signal an eine Externe Partnerstation über IEC61850 gesendet/empfangen wird mit x markieren</t>
        </r>
      </text>
    </comment>
    <comment ref="DL1" authorId="2" shapeId="0" xr:uid="{00000000-0006-0000-0100-000014000000}">
      <text>
        <r>
          <rPr>
            <b/>
            <sz val="9"/>
            <color indexed="81"/>
            <rFont val="Tahoma"/>
            <charset val="1"/>
          </rPr>
          <t>Mattle Stefan:</t>
        </r>
        <r>
          <rPr>
            <sz val="9"/>
            <color indexed="81"/>
            <rFont val="Tahoma"/>
            <charset val="1"/>
          </rPr>
          <t xml:space="preserve">
Explizit zu prüfen sind:
- HW I/O's
- Serielle Anbindungen zu Fremdstationen
Interne Signale werden nicht visiert. Die Prüfung der internen Signale erfolgt durch die Funktionsprüfung (PAC).</t>
        </r>
      </text>
    </comment>
    <comment ref="DM1" authorId="2" shapeId="0" xr:uid="{00000000-0006-0000-0100-000015000000}">
      <text>
        <r>
          <rPr>
            <b/>
            <sz val="9"/>
            <color indexed="81"/>
            <rFont val="Tahoma"/>
            <charset val="1"/>
          </rPr>
          <t>Mattle Stefan:</t>
        </r>
        <r>
          <rPr>
            <sz val="9"/>
            <color indexed="81"/>
            <rFont val="Tahoma"/>
            <charset val="1"/>
          </rPr>
          <t xml:space="preserve">
Explizit zu prüfen sind:
- Signalübertragungen zu RITOP LBS
(Signalübermittlung an RITOP, korrekte Visualisierung, Eintrag ins Alarm-/Meldebuch etc.)</t>
        </r>
      </text>
    </comment>
    <comment ref="DN1" authorId="2" shapeId="0" xr:uid="{00000000-0006-0000-0100-000016000000}">
      <text>
        <r>
          <rPr>
            <b/>
            <sz val="9"/>
            <color indexed="81"/>
            <rFont val="Tahoma"/>
            <charset val="1"/>
          </rPr>
          <t>Mattle Stefan:</t>
        </r>
        <r>
          <rPr>
            <sz val="9"/>
            <color indexed="81"/>
            <rFont val="Tahoma"/>
            <charset val="1"/>
          </rPr>
          <t xml:space="preserve">
Explizit zu prüfen sind:
- Signalübertragungen zu RITOP KSS
(Signalübermittlung an RITOP, korrekte Visualisierung, Eintrag ins Alarm-/Meldebuch etc.)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Postolov Aleksandar</author>
    <author>Autor</author>
  </authors>
  <commentList>
    <comment ref="F1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Postolov Aleksandar:</t>
        </r>
        <r>
          <rPr>
            <sz val="9"/>
            <color indexed="81"/>
            <rFont val="Tahoma"/>
            <family val="2"/>
          </rPr>
          <t xml:space="preserve">
Optionales Schlüsselwort 
- true:  Zwischen den Ritop Textblöcken wird kein Leerzeichen eingefügt
- false: Zwischen den Ritop Textblöcken wird ein Leerzeichen eingefügt (default)
</t>
        </r>
      </text>
    </comment>
    <comment ref="F15" authorId="1" shapeId="0" xr:uid="{00000000-0006-0000-0300-000002000000}">
      <text>
        <r>
          <rPr>
            <sz val="10"/>
            <color indexed="81"/>
            <rFont val="Consolas"/>
            <family val="3"/>
          </rPr>
          <t xml:space="preserve">0 = spontaner ZW-Transfer bei jedem Zählimpuls am IF
Gültige Werte: 0, 6, 10, 12, 15, 20, 30, </t>
        </r>
        <r>
          <rPr>
            <b/>
            <sz val="10"/>
            <color indexed="81"/>
            <rFont val="Consolas"/>
            <family val="3"/>
          </rPr>
          <t>60</t>
        </r>
        <r>
          <rPr>
            <sz val="10"/>
            <color indexed="81"/>
            <rFont val="Consolas"/>
            <family val="3"/>
          </rPr>
          <t xml:space="preserve">, 120, 180, 240, 300, 360, 600, 720, 900, 1200, 1800, 3600 s
</t>
        </r>
      </text>
    </comment>
    <comment ref="A88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Absichtlich ohne _ vor dem 0.
Beim einem zweiten RITOP System würde am Schluss _1 angehängt.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<sst xmlns="http://schemas.openxmlformats.org/spreadsheetml/2006/main" count="1283" uniqueCount="819">
  <si>
    <t>Export</t>
  </si>
  <si>
    <t>Signal + Bezeichnung</t>
  </si>
  <si>
    <t>Kommentar</t>
  </si>
  <si>
    <t>Typ</t>
  </si>
  <si>
    <t>MFE</t>
  </si>
  <si>
    <t>MFE1
Einheit oder
Bitwert 0 
(max. 12 Z.)</t>
  </si>
  <si>
    <t>MFE2
Messbereich
oder Bitwert 1
(max. 12 Z.)</t>
  </si>
  <si>
    <t>MFE3 oder
Bitwert 2
(max. 12 Z.)</t>
  </si>
  <si>
    <t>MFE4</t>
  </si>
  <si>
    <t>MFE5</t>
  </si>
  <si>
    <t>MFE6</t>
  </si>
  <si>
    <t>MFE7</t>
  </si>
  <si>
    <t>MFE8</t>
  </si>
  <si>
    <t>Signal-Attribute</t>
  </si>
  <si>
    <t>Startwert</t>
  </si>
  <si>
    <t>Zeiteinb.</t>
  </si>
  <si>
    <t>Backup</t>
  </si>
  <si>
    <t>Übertr. Prio</t>
  </si>
  <si>
    <t>Impulsbefehl</t>
  </si>
  <si>
    <t>Nicht Redundant</t>
  </si>
  <si>
    <t>Davos</t>
  </si>
  <si>
    <t>Verdichtung</t>
  </si>
  <si>
    <t>Intervall</t>
  </si>
  <si>
    <t>Elemente</t>
  </si>
  <si>
    <t>Variable</t>
  </si>
  <si>
    <t>Konfiguration</t>
  </si>
  <si>
    <t>Q-Stat</t>
  </si>
  <si>
    <t>S-Stat</t>
  </si>
  <si>
    <t>M1-Modul</t>
  </si>
  <si>
    <t>Input/Output</t>
  </si>
  <si>
    <t>Invertiert</t>
  </si>
  <si>
    <t>Station</t>
  </si>
  <si>
    <t>Modul</t>
  </si>
  <si>
    <t>DP Start</t>
  </si>
  <si>
    <t>DP End</t>
  </si>
  <si>
    <t>Mode</t>
  </si>
  <si>
    <t>DP-Typ</t>
  </si>
  <si>
    <t>Mittelwert</t>
  </si>
  <si>
    <t>Digitales Filter (Grenzfrequenz)</t>
  </si>
  <si>
    <t>Transferz.</t>
  </si>
  <si>
    <t>Fehlerintegr.</t>
  </si>
  <si>
    <t>PV-Parameter</t>
  </si>
  <si>
    <t>P: Bl.Nr.</t>
  </si>
  <si>
    <t>P: Min.</t>
  </si>
  <si>
    <t>P: Max.</t>
  </si>
  <si>
    <t>Nachkommastellen</t>
  </si>
  <si>
    <t>Kurve</t>
  </si>
  <si>
    <t>Kurven-Daten</t>
  </si>
  <si>
    <t>Kurven-Nr</t>
  </si>
  <si>
    <t>Anz.Kurven</t>
  </si>
  <si>
    <t>Anz.Punkte</t>
  </si>
  <si>
    <t>SVI</t>
  </si>
  <si>
    <t>SVI (Q/S)</t>
  </si>
  <si>
    <t>RITOP KSS</t>
  </si>
  <si>
    <t>RITOP Q/S</t>
  </si>
  <si>
    <t>RITOP LBS</t>
  </si>
  <si>
    <t>RITOP DP</t>
  </si>
  <si>
    <t>DP Name RITOP 
KSS</t>
  </si>
  <si>
    <t>DP Name RITOP 
LBS</t>
  </si>
  <si>
    <t>DP-Element</t>
  </si>
  <si>
    <t>Originalwert:
Befehlstexte
Betriebsarttexte
SA-Filter
Parameterwerte</t>
  </si>
  <si>
    <t>DP-Fkt
Parameter</t>
  </si>
  <si>
    <t>DP-Fkt
Formel</t>
  </si>
  <si>
    <t>Datenpunkt (intern)</t>
  </si>
  <si>
    <t>Intern Gruppe</t>
  </si>
  <si>
    <t>DP Textblöcke</t>
  </si>
  <si>
    <t>Formatierung</t>
  </si>
  <si>
    <t>Anz. Meldetexte</t>
  </si>
  <si>
    <t>Format</t>
  </si>
  <si>
    <t>Einheit</t>
  </si>
  <si>
    <t>Wertebereich</t>
  </si>
  <si>
    <t>IEC-Adresse</t>
  </si>
  <si>
    <t>Treibertyp</t>
  </si>
  <si>
    <t>Treibernummer</t>
  </si>
  <si>
    <t>Subindex</t>
  </si>
  <si>
    <t>Offset</t>
  </si>
  <si>
    <t>Richtung</t>
  </si>
  <si>
    <t>Glättung</t>
  </si>
  <si>
    <t>RITOP Kurz-Bezeichnung</t>
  </si>
  <si>
    <t>Reference</t>
  </si>
  <si>
    <t>MsgConv</t>
  </si>
  <si>
    <t>Anz. Punkte | Null Von</t>
  </si>
  <si>
    <t>X-Werte | Null Bis</t>
  </si>
  <si>
    <t>Y-Werte | Null Resultat</t>
  </si>
  <si>
    <t>WebMIpro</t>
  </si>
  <si>
    <t>Export Alarm</t>
  </si>
  <si>
    <t>Alarmpriorität</t>
  </si>
  <si>
    <t>Mapping</t>
  </si>
  <si>
    <t>IEC101 Mapping</t>
  </si>
  <si>
    <t>IEC104 Mapping</t>
  </si>
  <si>
    <t>IEC61850 Mapping</t>
  </si>
  <si>
    <t>IBN</t>
  </si>
  <si>
    <t>RIFLEX geprüft
Datum / Visum</t>
  </si>
  <si>
    <t>RITOP LBS geprüft
Datum / Visum</t>
  </si>
  <si>
    <t>RITOP KSS geprüft
Datum / Visum</t>
  </si>
  <si>
    <t>signallist_export_mark</t>
  </si>
  <si>
    <t>riflex_plant_object_name</t>
  </si>
  <si>
    <t>riflex_plant_object_name_1</t>
  </si>
  <si>
    <t>riflex_plant_object_name_2</t>
  </si>
  <si>
    <t>riflex_plant_object_name_3</t>
  </si>
  <si>
    <t>riflex_signal_name</t>
  </si>
  <si>
    <t>riflex_plant_object_description
ritop_description_area
ritop_description_area_1</t>
  </si>
  <si>
    <t>riflex_plant_object_description_1
ritop_description_building
ritop_description_building_1</t>
  </si>
  <si>
    <t>riflex_plant_object_description_2
ritop_description_element
ritop_description_element_1</t>
  </si>
  <si>
    <t>riflex_plant_object_description_3
ritop_description_index
ritop_description_index_1</t>
  </si>
  <si>
    <t>riflex_signal_description</t>
  </si>
  <si>
    <t>riflex_signal_comment</t>
  </si>
  <si>
    <t>riflex_signal_type</t>
  </si>
  <si>
    <t>riflex_signal_mfe
ritop_alert_hdl_text0
ritop_alert_hdl_text0_1</t>
  </si>
  <si>
    <t>riflex_signal_mfe_1
riflex_io_measurement_range
ritop_alert_hdl_text1
ritop_alert_hdl_text1_1</t>
  </si>
  <si>
    <t>riflex_signal_mfe_2
ritop_alert_hdl_text2
ritop_alert_hdl_text2_1</t>
  </si>
  <si>
    <t>riflex_signal_mfe_3
ritop_alert_hdl_text3
ritop_alert_hdl_text3_1</t>
  </si>
  <si>
    <t>riflex_signal_mfe_4
ritop_alert_hdl_text4
ritop_alert_hdl_text4_1</t>
  </si>
  <si>
    <t>riflex_signal_mfe_5
ritop_alert_hdl_text5
ritop_alert_hdl_text5_1</t>
  </si>
  <si>
    <t>riflex_signal_mfe_6
ritop_alert_hdl_text6
ritop_alert_hdl_text6_1</t>
  </si>
  <si>
    <t>riflex_signal_mfe_7
ritop_alert_hdl_text7
ritop_alert_hdl_text7_1</t>
  </si>
  <si>
    <t>riflex_signal_default_value</t>
  </si>
  <si>
    <t>riflex_signal_flag_time</t>
  </si>
  <si>
    <t>riflex_signal_flag_backup</t>
  </si>
  <si>
    <t>riflex_signal_flag_priority</t>
  </si>
  <si>
    <t>riflex_signal_flag_impuls</t>
  </si>
  <si>
    <t>riflex_signal_flag_not_redundant</t>
  </si>
  <si>
    <t>riflex_signal_davos_compression</t>
  </si>
  <si>
    <t>riflex_signal_davos_interval</t>
  </si>
  <si>
    <t>riflex_signal_davos_elements</t>
  </si>
  <si>
    <t>riflex_variable_configuration
riflex_svi_configuration</t>
  </si>
  <si>
    <t>riflex_variable_source_station
riflex_svi_station</t>
  </si>
  <si>
    <t>riflex_variable_destination_station</t>
  </si>
  <si>
    <t>riflex_io_direction</t>
  </si>
  <si>
    <t>riflex_io_inversion</t>
  </si>
  <si>
    <t>riflex_io_configuration</t>
  </si>
  <si>
    <t>riflex_io_station</t>
  </si>
  <si>
    <t>riflex_io_module</t>
  </si>
  <si>
    <t>riflex_io_start_datapoint</t>
  </si>
  <si>
    <t>riflex_io_end_datapoint</t>
  </si>
  <si>
    <t>riflex_io_signal_level
riflex_io_digital_output_type
riflex_io_alert_output_type
riflex_io_digital_code</t>
  </si>
  <si>
    <t>riflex_io_datapoint_type</t>
  </si>
  <si>
    <t>riflex_io_average</t>
  </si>
  <si>
    <t>riflex_io_cutoff_f</t>
  </si>
  <si>
    <t>riflex_io_transfer_time</t>
  </si>
  <si>
    <t>riflex_io_failure_integrator</t>
  </si>
  <si>
    <t>riflex_parameter_configuration</t>
  </si>
  <si>
    <t>riflex_parameter_station</t>
  </si>
  <si>
    <t>riflex_parameter_block_number</t>
  </si>
  <si>
    <t>riflex_parameter_min</t>
  </si>
  <si>
    <t>riflex_parameter_max</t>
  </si>
  <si>
    <t>riflex_parameter_decimal_place</t>
  </si>
  <si>
    <t>riflex_curve_data</t>
  </si>
  <si>
    <t>riflex_curve_number</t>
  </si>
  <si>
    <t>riflex_curve_number_of_curves</t>
  </si>
  <si>
    <t>riflex_curve_number_of_points</t>
  </si>
  <si>
    <t>riflex_svi_direction</t>
  </si>
  <si>
    <t>riflex_ritop_configuration</t>
  </si>
  <si>
    <t>riflex_ritop_station</t>
  </si>
  <si>
    <t>riflex_ritop_direction</t>
  </si>
  <si>
    <t>riflex_ritop_configuration_1</t>
  </si>
  <si>
    <t>riflex_ritop_station_1</t>
  </si>
  <si>
    <t>riflex_ritop_direction_1</t>
  </si>
  <si>
    <t>ritop_dp_type
ritop_dp_type_1</t>
  </si>
  <si>
    <t>ritop_dp_name</t>
  </si>
  <si>
    <t>ritop_dp_name_1</t>
  </si>
  <si>
    <t>ritop_dp_element
ritop_dp_element_1</t>
  </si>
  <si>
    <t>ritop_original_value
ritop_original_value_1</t>
  </si>
  <si>
    <t>ritop_dp_fct_parameter
ritop_dp_fct_parameter_1</t>
  </si>
  <si>
    <t>ritop_dp_fct_function
ritop_dp_fct_function_1</t>
  </si>
  <si>
    <t>ritop_dp_intern_gruppe
ritop_dp_intern_gruppe_1</t>
  </si>
  <si>
    <t>ritop_dp_description_blocks
ritop_dp_description_blocks_1</t>
  </si>
  <si>
    <t>ritop_alert_hdl_number
ritop_alert_hdl_number_1</t>
  </si>
  <si>
    <t>ritop_format
ritop_format_1</t>
  </si>
  <si>
    <t>ritop_unit
ritop_unit_1</t>
  </si>
  <si>
    <t>ritop_range
ritop_range_1</t>
  </si>
  <si>
    <t>ritop_address_driver_ident
ritop_address_driver_ident_1</t>
  </si>
  <si>
    <t>ritop_address_driver_number
ritop_address_driver_number_1</t>
  </si>
  <si>
    <t>ritop_address_subindex
ritop_address_subindex_1</t>
  </si>
  <si>
    <t>ritop_address_offset
ritop_address_offset_1</t>
  </si>
  <si>
    <t>ritop_address_direction
ritop_address_direction_1</t>
  </si>
  <si>
    <t>ritop_archive_1_std_tol
ritop_archive_1_std_tol_1</t>
  </si>
  <si>
    <t>ritop_description_shortmark
ritop_description_shortmark_1</t>
  </si>
  <si>
    <t>ritop_address_reference
ritop_address_reference_1</t>
  </si>
  <si>
    <t>ritop_msg_conv_type
ritop_msg_conv_type_1</t>
  </si>
  <si>
    <t>ritop_msg_conv_lint_number
ritop_msg_conv_lint_number_1
ritop_msg_conv_null_from
ritop_msg_conv_null_from_1</t>
  </si>
  <si>
    <t>ritop_msg_conv_lint_x
ritop_msg_conv_null_to
ritop_msg_conv_lint_x_1
ritop_msg_conv_null_to_1</t>
  </si>
  <si>
    <t>ritop_msg_conv_lint_y
ritop_msg_conv_null_result
ritop_msg_conv_lint_y_1
ritop_msg_conv_null_result_1</t>
  </si>
  <si>
    <t>webmipro_export_mark</t>
  </si>
  <si>
    <t>webmipro_alarmprio</t>
  </si>
  <si>
    <t>English (Deutsch anschliessend): This message has to be at least 256 characters long. Otherwise curve data will be cut off after 255 characters. Deutsch: Dieser Text muss mindestens 256 Zeichen lang sein, sonst werden die Kurvendaten nach 255 Zeichen abgschnitten.</t>
  </si>
  <si>
    <t>RO_STATION</t>
  </si>
  <si>
    <t>.intern.typ</t>
  </si>
  <si>
    <t xml:space="preserve"> </t>
  </si>
  <si>
    <t>.in.stoerung1.value</t>
  </si>
  <si>
    <t>.in.stoerung2.value</t>
  </si>
  <si>
    <t>.in.stoerung3.value</t>
  </si>
  <si>
    <t>.in.stoerung4.value</t>
  </si>
  <si>
    <t>.in.stoerung5.value</t>
  </si>
  <si>
    <t>.in.stoerung6.value</t>
  </si>
  <si>
    <t>.in.stoerung7.value</t>
  </si>
  <si>
    <t>.in.stoerung9.value</t>
  </si>
  <si>
    <t>.in.stoerung8.value</t>
  </si>
  <si>
    <t>.in.meldung0.value</t>
  </si>
  <si>
    <t>.in.meldung1.value</t>
  </si>
  <si>
    <t>.in.meldung2.value</t>
  </si>
  <si>
    <t>.in.meldung3.value</t>
  </si>
  <si>
    <t>.in.meldung6.value</t>
  </si>
  <si>
    <t>.in.meldung5.value</t>
  </si>
  <si>
    <t>.in.meldung4.value</t>
  </si>
  <si>
    <t>A</t>
  </si>
  <si>
    <t>RO_ALARMKONTAKT</t>
  </si>
  <si>
    <t>.in.kontakt.value</t>
  </si>
  <si>
    <t>RO_SAMMELALARM</t>
  </si>
  <si>
    <t>RO_MELDEKONTAKT</t>
  </si>
  <si>
    <t>.out.alarm_prio1.value</t>
  </si>
  <si>
    <t>.out.alarm_prio2.value</t>
  </si>
  <si>
    <t>.out.alarm_prio3.value</t>
  </si>
  <si>
    <t>.out.alarm_neuwert.value</t>
  </si>
  <si>
    <t>RO_QUITTIERUNG</t>
  </si>
  <si>
    <t>.out.quittierung_mmi.value</t>
  </si>
  <si>
    <t>BLK1</t>
  </si>
  <si>
    <t>4..20 mA</t>
  </si>
  <si>
    <t>RO_KW_MESSWERT</t>
  </si>
  <si>
    <t>.in.wert.value</t>
  </si>
  <si>
    <t>.in.ausfall.value</t>
  </si>
  <si>
    <t>.out.deblockieren.value</t>
  </si>
  <si>
    <t>.out.blockieren.value</t>
  </si>
  <si>
    <t>.in.rohwert.value</t>
  </si>
  <si>
    <t>.in.alarm1.value</t>
  </si>
  <si>
    <t>GRAY</t>
  </si>
  <si>
    <t>.in.livezero.value</t>
  </si>
  <si>
    <t>.in.maxalarm.value</t>
  </si>
  <si>
    <t>.in.hoch.value</t>
  </si>
  <si>
    <t>.in.tief.value</t>
  </si>
  <si>
    <t>.in.minalarm.value</t>
  </si>
  <si>
    <t>.out.gw_maxalarm.value</t>
  </si>
  <si>
    <t>.out.gw_hoch.value</t>
  </si>
  <si>
    <t>.out.gw_tief.value</t>
  </si>
  <si>
    <t>.out.gw_minalarm.value</t>
  </si>
  <si>
    <t>RO_SOLLWERT</t>
  </si>
  <si>
    <t>.out.sollwert.value</t>
  </si>
  <si>
    <t>RO_SOLLWERTNF</t>
  </si>
  <si>
    <t>.in.aktive_bedienebene.value</t>
  </si>
  <si>
    <t>.out.swnf_sollwert.sollwert</t>
  </si>
  <si>
    <t>.out.swnf_sollwert.aktueller_sollwert</t>
  </si>
  <si>
    <t>.out.swnf_sollwert.nachfuehren</t>
  </si>
  <si>
    <t>RO_KW_ZAEHLWERT</t>
  </si>
  <si>
    <t>.in.counter.value</t>
  </si>
  <si>
    <t>.in.menge.value</t>
  </si>
  <si>
    <t>RO_KW_AGGREGAT_NL</t>
  </si>
  <si>
    <t>.intern.betriebsarttexte</t>
  </si>
  <si>
    <t>.intern.befehlstexte</t>
  </si>
  <si>
    <t>.in.betriebsart.value</t>
  </si>
  <si>
    <t>.out.vw_ba1.value</t>
  </si>
  <si>
    <t>.out.vw_ba2.value</t>
  </si>
  <si>
    <t>.out.vw_ba3.value</t>
  </si>
  <si>
    <t>.out.bef_zustand1.value</t>
  </si>
  <si>
    <t>.out.bef_zustand0.value</t>
  </si>
  <si>
    <t>.in.zustand1.value</t>
  </si>
  <si>
    <t>.in.zustand0.value</t>
  </si>
  <si>
    <t>.in.meldung9.value</t>
  </si>
  <si>
    <t>.out.freigeben.value</t>
  </si>
  <si>
    <t>.in.betriebsart_sperren.value</t>
  </si>
  <si>
    <t>.in.befehle_sperren.value</t>
  </si>
  <si>
    <t>.in.blockiert.value</t>
  </si>
  <si>
    <t>.in.zustand2.value</t>
  </si>
  <si>
    <t>.in.zustand3.value</t>
  </si>
  <si>
    <t>.in.meldung8.value</t>
  </si>
  <si>
    <t>.intern.modustexte</t>
  </si>
  <si>
    <t>.in.modus.value</t>
  </si>
  <si>
    <t>.out.vw_mod1.value</t>
  </si>
  <si>
    <t>.out.vw_mod2.value</t>
  </si>
  <si>
    <t>.out.vw_mod3.value</t>
  </si>
  <si>
    <t>.in.stoerung0.value</t>
  </si>
  <si>
    <t>RO_EVU_SCHALTER</t>
  </si>
  <si>
    <t>.intern.befehl_schalter_texte</t>
  </si>
  <si>
    <t>.out.befehl_ein.value</t>
  </si>
  <si>
    <t>.out.befehl_aus.value</t>
  </si>
  <si>
    <t>.in.zustand_schalter.value</t>
  </si>
  <si>
    <t>.out.befehl_block.value</t>
  </si>
  <si>
    <t>.in.al_antivalenz_schalter.value</t>
  </si>
  <si>
    <t>.in.al_reakt_zeit_schalter.value</t>
  </si>
  <si>
    <t>.in.sperren.value</t>
  </si>
  <si>
    <t>BM2</t>
  </si>
  <si>
    <t>.intern.befehl_wagen_texte</t>
  </si>
  <si>
    <t>.intern.hat_wagen</t>
  </si>
  <si>
    <t>.out.befehl_einfahren.value</t>
  </si>
  <si>
    <t>.out.befehl_ausfahren.value</t>
  </si>
  <si>
    <t>.in.zustand_wagen.value</t>
  </si>
  <si>
    <t>.in.al_antivalenz_wagen.value</t>
  </si>
  <si>
    <t>.in.al_reakt_zeit_wagen.value</t>
  </si>
  <si>
    <t>RO_KW_MA_STEUERUNG_NL</t>
  </si>
  <si>
    <t>.in.betriebszustand.value</t>
  </si>
  <si>
    <t>.in.stillstand.value</t>
  </si>
  <si>
    <t>.in.zustand5.value</t>
  </si>
  <si>
    <t>.in.sequenzregime.value</t>
  </si>
  <si>
    <t>.out.bef_anf_z1.value</t>
  </si>
  <si>
    <t>.out.bef_anf_z2.value</t>
  </si>
  <si>
    <t>.out.bef_anf_z5.value</t>
  </si>
  <si>
    <t>.out.bef_rs_z2.value</t>
  </si>
  <si>
    <t>.out.bef_rs_z1.value</t>
  </si>
  <si>
    <t>.out.bef_rs_ss.value</t>
  </si>
  <si>
    <t>.out.bef_schritt_hoeher.value</t>
  </si>
  <si>
    <t>.out.bef_schritt_tiefer.value</t>
  </si>
  <si>
    <t>.out.vw_auto.value</t>
  </si>
  <si>
    <t>.out.vw_wha.value</t>
  </si>
  <si>
    <t>.out.vw_schritt.value</t>
  </si>
  <si>
    <t>.in.seq_nachfuehren.value</t>
  </si>
  <si>
    <t>.in.fsb_index.value</t>
  </si>
  <si>
    <t>.in.schrittzaehler.value</t>
  </si>
  <si>
    <t>.in.koordination.value</t>
  </si>
  <si>
    <t>.in.sperren_hand.value</t>
  </si>
  <si>
    <t>.in.sperren_hand_rs.value</t>
  </si>
  <si>
    <t>.in.sperren_anf_z1.value</t>
  </si>
  <si>
    <t>.in.sperren_anf_z2.value</t>
  </si>
  <si>
    <t>.in.sperren_anf_z5.value</t>
  </si>
  <si>
    <t>.in.sperren_rs_z2.value</t>
  </si>
  <si>
    <t>.in.sperren_rs_z1.value</t>
  </si>
  <si>
    <t>.in.sperren_rs_ss.value</t>
  </si>
  <si>
    <t>RO_KW_BEFEHL</t>
  </si>
  <si>
    <t>.intern.befehlstext</t>
  </si>
  <si>
    <t>.out.befehl.value</t>
  </si>
  <si>
    <t>.in.meldung7.value</t>
  </si>
  <si>
    <t>.in.modus_sperren.value</t>
  </si>
  <si>
    <t>RO_KW_SOLLWERT</t>
  </si>
  <si>
    <t>.out.bef_hoeher.value</t>
  </si>
  <si>
    <t>.out.bef_tiefer.value</t>
  </si>
  <si>
    <t>.in.sollwert.value</t>
  </si>
  <si>
    <t>RO_KW_MASCHINENSTEUERUNG</t>
  </si>
  <si>
    <t>.intern.sequenzen</t>
  </si>
  <si>
    <t>.intern.direktsequenzen</t>
  </si>
  <si>
    <t>.intern.betriebszustaende</t>
  </si>
  <si>
    <t>.intern.anfahrbedingungen</t>
  </si>
  <si>
    <t>.intern.stillstandsbedingungen</t>
  </si>
  <si>
    <t>RO_KW_BETRIEBSZUSTAND</t>
  </si>
  <si>
    <t>.intern.betriebszustandtext</t>
  </si>
  <si>
    <t>.in.erfuellt.value</t>
  </si>
  <si>
    <t>.in.anwahl.value</t>
  </si>
  <si>
    <t>.out.anwahl.value</t>
  </si>
  <si>
    <t>RO_KW_SEQUENZ</t>
  </si>
  <si>
    <t>.intern.sequenztext</t>
  </si>
  <si>
    <t>.intern.schritte</t>
  </si>
  <si>
    <t>.in.aktiv.value</t>
  </si>
  <si>
    <t>RO_KW_SCHRITT</t>
  </si>
  <si>
    <t>.intern.schritttext</t>
  </si>
  <si>
    <t>.intern.awb</t>
  </si>
  <si>
    <t>.intern.befehle</t>
  </si>
  <si>
    <t>.intern.rueckmeldungen</t>
  </si>
  <si>
    <t>.in.timeout.value</t>
  </si>
  <si>
    <t>-10..10 V</t>
  </si>
  <si>
    <t>RO_KW_XYK</t>
  </si>
  <si>
    <t>.out.kurve.X-Wert.value</t>
  </si>
  <si>
    <t>.out.kurve.Y-Wert.value</t>
  </si>
  <si>
    <t>.out.kurve.X-Skala.min</t>
  </si>
  <si>
    <t>.out.kurve.X-Skala.max</t>
  </si>
  <si>
    <t>.out.kurve.Y-Skala.min</t>
  </si>
  <si>
    <t>.out.kurve.Y-Skala.max</t>
  </si>
  <si>
    <t>RO_KW_TYK</t>
  </si>
  <si>
    <t>.out.kurve.T-Wert.value</t>
  </si>
  <si>
    <t>.intern.includeListe</t>
  </si>
  <si>
    <t>RO_EVU_SAMMELSCHIENE</t>
  </si>
  <si>
    <t>.out.vorw_unverfuegbar.value</t>
  </si>
  <si>
    <t>RO_EVU_KABEL</t>
  </si>
  <si>
    <t>Configuration</t>
  </si>
  <si>
    <t>Module</t>
  </si>
  <si>
    <t>ModuleType</t>
  </si>
  <si>
    <t>Zulässige Messsignale</t>
  </si>
  <si>
    <t>Zulässige IF-Typen</t>
  </si>
  <si>
    <t>Suchbegriff II</t>
  </si>
  <si>
    <t>Bezeichnung</t>
  </si>
  <si>
    <t>-----------------</t>
  </si>
  <si>
    <t>-----------------------</t>
  </si>
  <si>
    <t>0..20 mA</t>
  </si>
  <si>
    <t>AI 202/SI</t>
  </si>
  <si>
    <t>RMAI202</t>
  </si>
  <si>
    <t>Analog-Input-Modul 2 Kanal 0/4..20mA, galv. getrennt</t>
  </si>
  <si>
    <t>-20..20 mA</t>
  </si>
  <si>
    <t>AI 204</t>
  </si>
  <si>
    <t>AI 204/SI</t>
  </si>
  <si>
    <t>RMAI204</t>
  </si>
  <si>
    <t>Analog-Input-Modul 4 Kanal 0/4..20mA, galv. getrennt</t>
  </si>
  <si>
    <t>AI 208/SI</t>
  </si>
  <si>
    <t>RMAI208</t>
  </si>
  <si>
    <t>Analog-Input-Modul 8 Kanal 0/4..20mA, galv. getrennt</t>
  </si>
  <si>
    <t>-1..1 V</t>
  </si>
  <si>
    <t>AIO 202/SI</t>
  </si>
  <si>
    <t>RMAIO202/SI</t>
  </si>
  <si>
    <t>Universal Analog-In/Out-Modul 2 Kanal, galv. getrennt</t>
  </si>
  <si>
    <t>AIO 204/SI</t>
  </si>
  <si>
    <t>RMAIO204/SI</t>
  </si>
  <si>
    <t>Universal Analog-In/Out-Modul 4 Kanal, galv. getrennt</t>
  </si>
  <si>
    <t>Pt100_2</t>
  </si>
  <si>
    <t>AIO 208/SI</t>
  </si>
  <si>
    <t>RMAIO208/SI</t>
  </si>
  <si>
    <t>Universal Analog-In/Out-Modul 8 Kanal, galv. getrennt</t>
  </si>
  <si>
    <t>Pt100_3</t>
  </si>
  <si>
    <t>AIO 208</t>
  </si>
  <si>
    <t>RMAIO208</t>
  </si>
  <si>
    <t>Universal Analog-In/Out-Modul 8 Kanal</t>
  </si>
  <si>
    <t>Pt100_4</t>
  </si>
  <si>
    <t>AIO 216</t>
  </si>
  <si>
    <t>RMAIO216</t>
  </si>
  <si>
    <t>Universal Analog-In/Out-Modul 16 Kanal</t>
  </si>
  <si>
    <t>Pt1000_2</t>
  </si>
  <si>
    <t>AIO 288</t>
  </si>
  <si>
    <t>RMAIO288</t>
  </si>
  <si>
    <t>Analog-In/Out-Modul 8xIn (+-10V, +-1V, 0/4..20mA, Pt100) / 8xOut (+-10V)</t>
  </si>
  <si>
    <t>Pt1000_3</t>
  </si>
  <si>
    <t>Pt1000_4</t>
  </si>
  <si>
    <t>AO 202</t>
  </si>
  <si>
    <t>Thermo_J</t>
  </si>
  <si>
    <t>AO 202/SI</t>
  </si>
  <si>
    <t>RMAO202</t>
  </si>
  <si>
    <t>Analog-Output-Modul 2 Kanal 0/4..20mA, galv. getrennt</t>
  </si>
  <si>
    <t>Thermo_K</t>
  </si>
  <si>
    <t>AO 204/SI</t>
  </si>
  <si>
    <t>RMAO204</t>
  </si>
  <si>
    <t>Analog-Output-Modul 4 Kanal 0/4..20mA, galv. getrennt</t>
  </si>
  <si>
    <t>AO 208</t>
  </si>
  <si>
    <t>BCD</t>
  </si>
  <si>
    <t>DI 212</t>
  </si>
  <si>
    <t>BIN</t>
  </si>
  <si>
    <t>DI 216</t>
  </si>
  <si>
    <t>DI 232</t>
  </si>
  <si>
    <t>RMDI232.x</t>
  </si>
  <si>
    <t>Digital-Input-Modul 32Bit, 24V bzw. 48V Signalspannung</t>
  </si>
  <si>
    <t>Impuls</t>
  </si>
  <si>
    <t>Impulslänge</t>
  </si>
  <si>
    <t>DIO 216</t>
  </si>
  <si>
    <t>RMDIO216.4</t>
  </si>
  <si>
    <t>Dig.-In/Out-Modul 16IO, 24V Signalspannung</t>
  </si>
  <si>
    <t>DIO 248</t>
  </si>
  <si>
    <t>RMDIO248</t>
  </si>
  <si>
    <t>Dig.I/O-Modul 16I/16O/16IO, 24V Signalspannung</t>
  </si>
  <si>
    <t>D1</t>
  </si>
  <si>
    <t>DIO 264</t>
  </si>
  <si>
    <t>L1</t>
  </si>
  <si>
    <t>DIO 280</t>
  </si>
  <si>
    <t>L2</t>
  </si>
  <si>
    <t>L3</t>
  </si>
  <si>
    <t>DO 216</t>
  </si>
  <si>
    <t>DO 232</t>
  </si>
  <si>
    <t>RMDO232.x</t>
  </si>
  <si>
    <t>Digital-Output-Modul 32Bit, 24V bzw. 48V Signalspannung</t>
  </si>
  <si>
    <t>DOR 206</t>
  </si>
  <si>
    <t>RMDOR206</t>
  </si>
  <si>
    <t>Digitales Ausgangsmodul Relais, 6 Kanäle</t>
  </si>
  <si>
    <t>BLK2</t>
  </si>
  <si>
    <t>BLK3</t>
  </si>
  <si>
    <t>PTAI 216</t>
  </si>
  <si>
    <t>TI 214</t>
  </si>
  <si>
    <t>RMTI214</t>
  </si>
  <si>
    <t>Temperatur-Erfassungs-Modul, 14 Kanäle</t>
  </si>
  <si>
    <t>GMP 232</t>
  </si>
  <si>
    <t>RMGMP232</t>
  </si>
  <si>
    <t>Netzmessmodul, 3 Spannungseingänge, 3 Stromeingänge und 2 Relaisausgänge</t>
  </si>
  <si>
    <t>GSP 274</t>
  </si>
  <si>
    <t>RMGSP274</t>
  </si>
  <si>
    <t>Netzerfassungs- und Synchronisiermodul</t>
  </si>
  <si>
    <t>GM 260</t>
  </si>
  <si>
    <t>RMGM260</t>
  </si>
  <si>
    <t xml:space="preserve">Kompaktes Netzmessmodul, 3 Spannungseingänge und  3 Stromeingänge </t>
  </si>
  <si>
    <t>CNT 204</t>
  </si>
  <si>
    <t>RMCNT204</t>
  </si>
  <si>
    <t>Zählermodul für Drehzahlerfassung</t>
  </si>
  <si>
    <t>ColumnDefinition</t>
  </si>
  <si>
    <t>ColumnName</t>
  </si>
  <si>
    <t>RowDefinition</t>
  </si>
  <si>
    <t>RowNumber</t>
  </si>
  <si>
    <t>GeneralDefinition</t>
  </si>
  <si>
    <t>Value</t>
  </si>
  <si>
    <t>stationmodel_configuration_number</t>
  </si>
  <si>
    <t>stationmodel_first_data_row</t>
  </si>
  <si>
    <t>signallist_sheet_name</t>
  </si>
  <si>
    <t>Signalliste</t>
  </si>
  <si>
    <t>stationmodel_station_number</t>
  </si>
  <si>
    <t>B</t>
  </si>
  <si>
    <t>signallist_first_data_row</t>
  </si>
  <si>
    <t>stationmodel_sheet_name</t>
  </si>
  <si>
    <t>StationModel</t>
  </si>
  <si>
    <t>stationmodel_module_number</t>
  </si>
  <si>
    <t>C</t>
  </si>
  <si>
    <t>signallist_column_definitions</t>
  </si>
  <si>
    <t>riflex_io_default_failure_integrator</t>
  </si>
  <si>
    <t>stationmodel_module_type</t>
  </si>
  <si>
    <t>D</t>
  </si>
  <si>
    <t>riflex_fbio_default_failure_integrator</t>
  </si>
  <si>
    <t>ritop_language</t>
  </si>
  <si>
    <t>de</t>
  </si>
  <si>
    <t>ritop_description_length_shortmark</t>
  </si>
  <si>
    <t>ritop_description_length_area</t>
  </si>
  <si>
    <t>ritop_description_length_building</t>
  </si>
  <si>
    <t>ritop_description_length_element</t>
  </si>
  <si>
    <t>ritop_description_length_index</t>
  </si>
  <si>
    <t>riflex_plant_object_description</t>
  </si>
  <si>
    <t>ritop_description_without_separator_blank</t>
  </si>
  <si>
    <t>false</t>
  </si>
  <si>
    <t>riflex_plant_object_description_1</t>
  </si>
  <si>
    <t>riflex_r2_x0</t>
  </si>
  <si>
    <t>riflex_plant_object_description_2</t>
  </si>
  <si>
    <t>riflex_r2_x1</t>
  </si>
  <si>
    <t>riflex_plant_object_description_3</t>
  </si>
  <si>
    <t>riflex_r2_transfer_time</t>
  </si>
  <si>
    <t>LastSelectedGroup</t>
  </si>
  <si>
    <t>riflex_signal_mfe</t>
  </si>
  <si>
    <t>LastSelectedItem</t>
  </si>
  <si>
    <t>riflex_signal_mfe_1</t>
  </si>
  <si>
    <t>LastSelectedTemplate</t>
  </si>
  <si>
    <t>riflex_signal_mfe_2</t>
  </si>
  <si>
    <t>riflex_signal_mfe_3</t>
  </si>
  <si>
    <t>riflex_signal_mfe_4</t>
  </si>
  <si>
    <t>riflex_signal_mfe_5</t>
  </si>
  <si>
    <t>riflex_signal_mfe_6</t>
  </si>
  <si>
    <t>riflex_signal_mfe_7</t>
  </si>
  <si>
    <t>riflex_signal_flag_redundant</t>
  </si>
  <si>
    <t>riflex_variable_configuration</t>
  </si>
  <si>
    <t>riflex_variable_source_station</t>
  </si>
  <si>
    <t>riflex_io_signal_level</t>
  </si>
  <si>
    <t>riflex_fbio_direction</t>
  </si>
  <si>
    <t>riflex_fbio_inversion</t>
  </si>
  <si>
    <t>riflex_fbio_configuration</t>
  </si>
  <si>
    <t>riflex_fbio_parent_station</t>
  </si>
  <si>
    <t>riflex_fbio_station</t>
  </si>
  <si>
    <t>riflex_fbio_module</t>
  </si>
  <si>
    <t>riflex_fbio_datapoint</t>
  </si>
  <si>
    <t>riflex_fbio_single_command</t>
  </si>
  <si>
    <t>riflex_fbio_output_type</t>
  </si>
  <si>
    <t>riflex_fbio_transfer_time</t>
  </si>
  <si>
    <t>riflex_fbio_failure_integrator</t>
  </si>
  <si>
    <t>riflex_fbio_sensor_type</t>
  </si>
  <si>
    <t>riflex_fbio_measurement_range</t>
  </si>
  <si>
    <t>riflex_fbio_signal_level</t>
  </si>
  <si>
    <t>riflex_parameter_privileged</t>
  </si>
  <si>
    <t>riflex_mrx_periods</t>
  </si>
  <si>
    <t>riflex_mrx_elements</t>
  </si>
  <si>
    <t>ritop_dp_type</t>
  </si>
  <si>
    <t>ritop_dp_element</t>
  </si>
  <si>
    <t>ritop_dp_description_blocks</t>
  </si>
  <si>
    <t>ritop_description_shortmark</t>
  </si>
  <si>
    <t>ritop_description_area</t>
  </si>
  <si>
    <t>ritop_description_building</t>
  </si>
  <si>
    <t>ritop_description_element</t>
  </si>
  <si>
    <t>ritop_description_index</t>
  </si>
  <si>
    <t>ritop_alert_hdl_number</t>
  </si>
  <si>
    <t>ritop_alert_hdl_text0</t>
  </si>
  <si>
    <t>ritop_alert_hdl_text1</t>
  </si>
  <si>
    <t>ritop_alert_hdl_text2</t>
  </si>
  <si>
    <t>ritop_alert_hdl_text3</t>
  </si>
  <si>
    <t>ritop_alert_hdl_text4</t>
  </si>
  <si>
    <t>ritop_alert_hdl_text5</t>
  </si>
  <si>
    <t>ritop_alert_hdl_text6</t>
  </si>
  <si>
    <t>ritop_alert_hdl_text7</t>
  </si>
  <si>
    <t>ritop_format</t>
  </si>
  <si>
    <t>ritop_unit</t>
  </si>
  <si>
    <t>ritop_original_value</t>
  </si>
  <si>
    <t>ritop_address_driver_ident</t>
  </si>
  <si>
    <t>ritop_address_driver_number</t>
  </si>
  <si>
    <t>ritop_address_reference</t>
  </si>
  <si>
    <t>ritop_range</t>
  </si>
  <si>
    <t>ritop_msg_conv_type</t>
  </si>
  <si>
    <t>ritop_msg_conv_lint_number</t>
  </si>
  <si>
    <t>ritop_msg_conv_lint_x</t>
  </si>
  <si>
    <t>ritop_msg_conv_lint_y</t>
  </si>
  <si>
    <t>ritop_msg_conv_null_from</t>
  </si>
  <si>
    <t>ritop_msg_conv_null_to</t>
  </si>
  <si>
    <t>ritop_msg_conv_null_result</t>
  </si>
  <si>
    <t>RO_EVU_ABGANG</t>
  </si>
  <si>
    <t>RO_EVU_FERN_LOKAL</t>
  </si>
  <si>
    <t>RO_EVU_SCHUTZGERAET</t>
  </si>
  <si>
    <t>RO_KW_WEHRFELD_2</t>
  </si>
  <si>
    <t>RO_KW_WEHRORGAN_2</t>
  </si>
  <si>
    <t>RO_KW_WHA</t>
  </si>
  <si>
    <t>RO_RITOP</t>
  </si>
  <si>
    <t>RO_SNMP</t>
  </si>
  <si>
    <t>RO_ZAEHLWERT</t>
  </si>
  <si>
    <t>--------------------------------------</t>
  </si>
  <si>
    <t>.intern.dp_erdtrenner</t>
  </si>
  <si>
    <t>.in.geraeteausfall.value</t>
  </si>
  <si>
    <t>.in.abfluss.value</t>
  </si>
  <si>
    <t>.in.quittierung_rtp.value</t>
  </si>
  <si>
    <t>.in.al_sntpConn.value</t>
  </si>
  <si>
    <t>.in.SA_Schalter_extern.value</t>
  </si>
  <si>
    <t>.in.al_aufruf.value</t>
  </si>
  <si>
    <t>.in.ist.C1.SUM</t>
  </si>
  <si>
    <t>.out.alarmanirl.value</t>
  </si>
  <si>
    <t>.intern.dp_schalterA</t>
  </si>
  <si>
    <t>.in.vorwahl.value</t>
  </si>
  <si>
    <t>.intern.topologie.abgang</t>
  </si>
  <si>
    <t>.in.geraetefehlfunktion.value</t>
  </si>
  <si>
    <t>.intern.gruppe</t>
  </si>
  <si>
    <t>.out.horn_dauer.value</t>
  </si>
  <si>
    <t>.in.hd.value</t>
  </si>
  <si>
    <t>.in.SA_Schalter_intern.value</t>
  </si>
  <si>
    <t>.in.messwert.int</t>
  </si>
  <si>
    <t>.in.al_station.value</t>
  </si>
  <si>
    <t>.in.ist.C2.SUM</t>
  </si>
  <si>
    <t>.intern.dp_schalterB</t>
  </si>
  <si>
    <t>.out.betriebsart.value</t>
  </si>
  <si>
    <t>.intern.topologie.init_abgang</t>
  </si>
  <si>
    <t>.in.kommunikationsausfall.value</t>
  </si>
  <si>
    <t>.in.betriebsartsperren.value</t>
  </si>
  <si>
    <t>.in.sollwert.C1.AVG_WT0</t>
  </si>
  <si>
    <t>.intern.panel_offen</t>
  </si>
  <si>
    <t>.in.manager.value</t>
  </si>
  <si>
    <t>.out.alarm_bedingt.value</t>
  </si>
  <si>
    <t>.in.messwert.value</t>
  </si>
  <si>
    <t>.in.ist.C3.SUM</t>
  </si>
  <si>
    <t>.intern.dp_vschalterA</t>
  </si>
  <si>
    <t>.intern.betriebsart_texte</t>
  </si>
  <si>
    <t>.intern.topologie.init_zustand</t>
  </si>
  <si>
    <t>.in.al_erdschluss.value</t>
  </si>
  <si>
    <t>.in.sollwert.C2.AVG_WT0</t>
  </si>
  <si>
    <t>.in.alarm2.value</t>
  </si>
  <si>
    <t>.intern.freigabe_prio1</t>
  </si>
  <si>
    <t>.in.mo.value</t>
  </si>
  <si>
    <t>.in.power1.int</t>
  </si>
  <si>
    <t>.in.ist.C4.SUM</t>
  </si>
  <si>
    <t>.intern.sammelalarm</t>
  </si>
  <si>
    <t>.intern.dp_vschalterB</t>
  </si>
  <si>
    <t>.intern.topologie.unverfuegbar</t>
  </si>
  <si>
    <t>.in.al_kurzschluss.value</t>
  </si>
  <si>
    <t>.in.sollwert.C3.AVG_WT0</t>
  </si>
  <si>
    <t>.in.alarm3.value</t>
  </si>
  <si>
    <t>.intern.freigabe_prio2</t>
  </si>
  <si>
    <t>.in.ram.value</t>
  </si>
  <si>
    <t>.in.power1.value</t>
  </si>
  <si>
    <t>.in.ist.value</t>
  </si>
  <si>
    <t>.intern.topologie.zustand</t>
  </si>
  <si>
    <t>.in.freigabe_sperren.value</t>
  </si>
  <si>
    <t>.in.sollwert.C4.AVG_WT0</t>
  </si>
  <si>
    <t>.in.alarm4.value</t>
  </si>
  <si>
    <t>.intern.freigabe_prio3</t>
  </si>
  <si>
    <t>.in.st_sntpAnt.value</t>
  </si>
  <si>
    <t>.in.power2.int</t>
  </si>
  <si>
    <t>.intern.konfig_sammelschieneA.konfig_status</t>
  </si>
  <si>
    <t>.in.sollwert.C5.AVG_WT0</t>
  </si>
  <si>
    <t>.in.alarm5.value</t>
  </si>
  <si>
    <t>.in.start_without_shutdown.value</t>
  </si>
  <si>
    <t>.in.power2.value</t>
  </si>
  <si>
    <t>.out.IEC104.outPuffer</t>
  </si>
  <si>
    <t>.intern.konfig_sammelschieneB.konfig_status</t>
  </si>
  <si>
    <t>.in.zustand4.value</t>
  </si>
  <si>
    <t>.in.al_schalterfall_schalter.value</t>
  </si>
  <si>
    <t>.in.alarm6.value</t>
  </si>
  <si>
    <t>.in.stoerung1.int</t>
  </si>
  <si>
    <t>.out.aggregat_sperren.value</t>
  </si>
  <si>
    <t>.in.al_schalterfall_wagen.value</t>
  </si>
  <si>
    <t>.in.alarm7.value</t>
  </si>
  <si>
    <t>.in.alarm_regler.value</t>
  </si>
  <si>
    <t>.intern.BildUndFernalarm_unterschiedlich</t>
  </si>
  <si>
    <t>.in.menge.C1.DIFF</t>
  </si>
  <si>
    <t>.in.al_schaltversagen.value</t>
  </si>
  <si>
    <t>.in.stoerung10.value</t>
  </si>
  <si>
    <t>.out.bef_hoeher_hoeher.value</t>
  </si>
  <si>
    <t>.in.alarm8.value</t>
  </si>
  <si>
    <t>.in.ausfall_stellung.value</t>
  </si>
  <si>
    <t>.intern.SAAlSpeicher</t>
  </si>
  <si>
    <t>.in.stoerung2.int</t>
  </si>
  <si>
    <t>.out.menge_bezogen.value</t>
  </si>
  <si>
    <t>.in.menge.C2.SUM</t>
  </si>
  <si>
    <t>.in.auto.value</t>
  </si>
  <si>
    <t>.in.stoerung11.value</t>
  </si>
  <si>
    <t>.in.alarm9.value</t>
  </si>
  <si>
    <t>.intern.SAunterdrueckbar</t>
  </si>
  <si>
    <t>.in.rm_aufruf.value</t>
  </si>
  <si>
    <t>.out.option_erreicht.value</t>
  </si>
  <si>
    <t>.in.menge.C3.SUM</t>
  </si>
  <si>
    <t>.in.geraeteverr.value</t>
  </si>
  <si>
    <t>.in.stoerung12.value</t>
  </si>
  <si>
    <t>.in.overflow.value</t>
  </si>
  <si>
    <t>.out.bef_tiefer_tiefer.value</t>
  </si>
  <si>
    <t>.intern.SAunterdrueckt</t>
  </si>
  <si>
    <t>.in.stoerung3.int</t>
  </si>
  <si>
    <t>.in.rm_aufruf2.value</t>
  </si>
  <si>
    <t>.out.optionsmenge.value</t>
  </si>
  <si>
    <t>.in.menge.C4.SUM</t>
  </si>
  <si>
    <t>.in.nottopical.value</t>
  </si>
  <si>
    <t>.in.stoerung13.value</t>
  </si>
  <si>
    <t>.intern.alarm_prio1</t>
  </si>
  <si>
    <t>.out.reset.value</t>
  </si>
  <si>
    <t>.in.menge.C5.SUM</t>
  </si>
  <si>
    <t>.in.stoerung14.value</t>
  </si>
  <si>
    <t>.in.geschlossen.value</t>
  </si>
  <si>
    <t>.intern.alarm_prio2</t>
  </si>
  <si>
    <t>.in.stoerung4.int</t>
  </si>
  <si>
    <t>.out.ueberbezug_freigabe.value</t>
  </si>
  <si>
    <t>.in.stoerung15.value</t>
  </si>
  <si>
    <t>.intern.alarm_prio3</t>
  </si>
  <si>
    <t>.intern.detail_text</t>
  </si>
  <si>
    <t>.in.wert.C1.AVG_WT0</t>
  </si>
  <si>
    <t>.in.stoerung16.value</t>
  </si>
  <si>
    <t>.intern.excludeListe</t>
  </si>
  <si>
    <t>.in.stoerung5.int</t>
  </si>
  <si>
    <t>.in.wert.C2.AVG_WT0</t>
  </si>
  <si>
    <t>.in.stoerung17.value</t>
  </si>
  <si>
    <t>.in.wert.C3.AVG_WT0</t>
  </si>
  <si>
    <t>.in.stoerung18.value</t>
  </si>
  <si>
    <t>.in.stoerung6.int</t>
  </si>
  <si>
    <t>.in.wert.C4.AVG_WT0</t>
  </si>
  <si>
    <t>.in.verfuegbar.value</t>
  </si>
  <si>
    <t>.in.stoerung19.value</t>
  </si>
  <si>
    <t>.in.wert.C5.AVG_WT0</t>
  </si>
  <si>
    <t>.in.wartung_aggr_aus.value</t>
  </si>
  <si>
    <t>.out.bef_aus.value</t>
  </si>
  <si>
    <t>.intern.anz_ctrl.alarm</t>
  </si>
  <si>
    <t>.in.stoerung7.int</t>
  </si>
  <si>
    <t>.in.wartung_dringend.value</t>
  </si>
  <si>
    <t>.in.stoerung20.value</t>
  </si>
  <si>
    <t>.out.bef_ein.value</t>
  </si>
  <si>
    <t>.intern.anz_ctrl.ist</t>
  </si>
  <si>
    <t>.intern.sammelalarm_muster</t>
  </si>
  <si>
    <t>.in.wartung_noetig.value</t>
  </si>
  <si>
    <t>.in.messwert1.value</t>
  </si>
  <si>
    <t>.out.fern.value</t>
  </si>
  <si>
    <t>.intern.anz_ctrl.soll</t>
  </si>
  <si>
    <t>.in.stoerung8.int</t>
  </si>
  <si>
    <t>.in.messwert2.value</t>
  </si>
  <si>
    <t>.intern.anz_dist.alarm</t>
  </si>
  <si>
    <t>.in.sperren_anf_z3.value</t>
  </si>
  <si>
    <t>.in.verfuegbarkeit_auto.value</t>
  </si>
  <si>
    <t>.out.progA.value</t>
  </si>
  <si>
    <t>.intern.anz_dist.ist</t>
  </si>
  <si>
    <t>.in.sperren_anf_z4.value</t>
  </si>
  <si>
    <t>.out.ersatz.value</t>
  </si>
  <si>
    <t>.in.verfuegbarkeit_wha.value</t>
  </si>
  <si>
    <t>.in.modussperren.value</t>
  </si>
  <si>
    <t>.out.progB.value</t>
  </si>
  <si>
    <t>.intern.anz_dist.soll</t>
  </si>
  <si>
    <t>.intern.geraet</t>
  </si>
  <si>
    <t>.out.aufruf.value</t>
  </si>
  <si>
    <t>.out.ersatz_aktiv.value</t>
  </si>
  <si>
    <t>.out.auto.value</t>
  </si>
  <si>
    <t>.in.oeffnend.value</t>
  </si>
  <si>
    <t>.out.progC.value</t>
  </si>
  <si>
    <t>.intern.anz_redu.alarm</t>
  </si>
  <si>
    <t>.out.deblockierung.value</t>
  </si>
  <si>
    <t>.in.offen.value</t>
  </si>
  <si>
    <t>.out.progD.value</t>
  </si>
  <si>
    <t>.intern.anz_redu.ist</t>
  </si>
  <si>
    <t>.intern.ip</t>
  </si>
  <si>
    <t>.out.gw_al_aufruf.value</t>
  </si>
  <si>
    <t>.in.schliessend.value</t>
  </si>
  <si>
    <t>.intern.anz_redu.soll</t>
  </si>
  <si>
    <t>.out.sollwert0.value</t>
  </si>
  <si>
    <t>.in.vorwahl1.value</t>
  </si>
  <si>
    <t>.out.hand.value</t>
  </si>
  <si>
    <t>.in.stellung.value</t>
  </si>
  <si>
    <t>.intern.anz_report.alarm</t>
  </si>
  <si>
    <t>.out.sollwert1.value</t>
  </si>
  <si>
    <t>.in.vorwahl2.value</t>
  </si>
  <si>
    <t>.out.wha.value</t>
  </si>
  <si>
    <t>.intern.anz_report.ist</t>
  </si>
  <si>
    <t>.out.sollwert2.value</t>
  </si>
  <si>
    <t>.out.verz_max.value</t>
  </si>
  <si>
    <t>.intern.anz_report.soll</t>
  </si>
  <si>
    <t>.out.sollwert3.value</t>
  </si>
  <si>
    <t>.in.sperren_rs_z3.value</t>
  </si>
  <si>
    <t>.out.bef_zustand2.value</t>
  </si>
  <si>
    <t>.out.verz_min.value</t>
  </si>
  <si>
    <t>.out.abfluss.value</t>
  </si>
  <si>
    <t>.intern.anz_treiber.alarm</t>
  </si>
  <si>
    <t>.out.sollwert4.value</t>
  </si>
  <si>
    <t>.intern.dp_gemeinsam</t>
  </si>
  <si>
    <t>.in.sperren_rs_z4.value</t>
  </si>
  <si>
    <t>.out.aus.value</t>
  </si>
  <si>
    <t>.intern.anz_treiber.ist</t>
  </si>
  <si>
    <t>.out.sollwert5.value</t>
  </si>
  <si>
    <t>.intern.mw_ausgewaehlt</t>
  </si>
  <si>
    <t>.intern.anz_treiber.soll</t>
  </si>
  <si>
    <t>.out.sollwert6.value</t>
  </si>
  <si>
    <t>.intern.anz_valarch.alarm</t>
  </si>
  <si>
    <t>.out.sollwert7.value</t>
  </si>
  <si>
    <t>.intern.befehl_texte</t>
  </si>
  <si>
    <t>.intern.anz_valarch.ist</t>
  </si>
  <si>
    <t>.intern.am_aufrufen</t>
  </si>
  <si>
    <t>.intern.vorwahl1_texte</t>
  </si>
  <si>
    <t>.out.parameter1.value</t>
  </si>
  <si>
    <t>.intern.anz_valarch.soll</t>
  </si>
  <si>
    <t>.intern.aufruf_status</t>
  </si>
  <si>
    <t>.intern.block</t>
  </si>
  <si>
    <t>.intern.vorwahl2_texte</t>
  </si>
  <si>
    <t>.out.vw_ba4.value</t>
  </si>
  <si>
    <t>.out.parameter2.value</t>
  </si>
  <si>
    <t>.intern.dp_abgang</t>
  </si>
  <si>
    <t>.out.vw_ba5.value</t>
  </si>
  <si>
    <t>.out.parameter3.value</t>
  </si>
  <si>
    <t>.intern.hilfstext</t>
  </si>
  <si>
    <t>.out.bef_zustand3.value</t>
  </si>
  <si>
    <t>.out.parameter4.value</t>
  </si>
  <si>
    <t>.intern.iec_common_adresse</t>
  </si>
  <si>
    <t>.out.prioritaet.value</t>
  </si>
  <si>
    <t>.intern.iec_verbindung_alarm</t>
  </si>
  <si>
    <t>.intern.logische_verriegelung</t>
  </si>
  <si>
    <t>.out.swnf_abfluss.aktueller_sollwert</t>
  </si>
  <si>
    <t>.intern.nachf_schalter</t>
  </si>
  <si>
    <t>.out.swnf_abfluss.nachfuehren</t>
  </si>
  <si>
    <t>.intern.nachf_wagen</t>
  </si>
  <si>
    <t>.out.swnf_abfluss.sollwert</t>
  </si>
  <si>
    <t>.out.swnf_zielkote.aktueller_sollwert</t>
  </si>
  <si>
    <t>.out.swnf_zielkote.nachfuehren</t>
  </si>
  <si>
    <t>.intern.topologie.geschaltet</t>
  </si>
  <si>
    <t>.out.swnf_zielkote.sollwert</t>
  </si>
  <si>
    <t>.intern.topologie.knoten1</t>
  </si>
  <si>
    <t>.intern.topologie.knoten2</t>
  </si>
  <si>
    <t>.out.zielkote.value</t>
  </si>
  <si>
    <t>.intern.topologie.konfig_status</t>
  </si>
  <si>
    <t>.intern.visual_schritt</t>
  </si>
  <si>
    <t>.intern.topologie.speisungs_knoten</t>
  </si>
  <si>
    <t>.out.vw_mod4.value</t>
  </si>
  <si>
    <t>.intern.visual_sequenz</t>
  </si>
  <si>
    <t>.out.vw_mod5.value</t>
  </si>
  <si>
    <t>.intern.modustext</t>
  </si>
  <si>
    <t>.out.bef_anf_z3.value</t>
  </si>
  <si>
    <t>.out.bef_anf_z4.value</t>
  </si>
  <si>
    <t>.out.bef_rs_z3.value</t>
  </si>
  <si>
    <t>.out.bef_rs_z4.value</t>
  </si>
  <si>
    <t>.out.vw_hand.value</t>
  </si>
  <si>
    <t>AO0</t>
  </si>
  <si>
    <t>AO1</t>
  </si>
  <si>
    <t>AO2</t>
  </si>
  <si>
    <t>AO3</t>
  </si>
  <si>
    <t>SO</t>
  </si>
  <si>
    <t>INDEX
(Langtext4 max.16 Zeichen)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</si>
</sst>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name val="Consolas"/>
      <family val="3"/>
    </font>
    <font>
      <sz val="8"/>
      <color theme="1"/>
      <name val="Consolas"/>
      <family val="3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9"/>
      <color indexed="81"/>
      <name val="Tahoma"/>
      <family val="2"/>
    </font>
    <font>
      <sz val="9"/>
      <color indexed="11"/>
      <name val="Tahoma"/>
      <family val="2"/>
    </font>
    <font>
      <sz val="9"/>
      <color indexed="12"/>
      <name val="Tahoma"/>
      <family val="2"/>
    </font>
    <font>
      <b/>
      <sz val="8"/>
      <color indexed="81"/>
      <name val="Tahoma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indexed="81"/>
      <name val="Consolas"/>
      <family val="3"/>
    </font>
    <font>
      <b/>
      <sz val="10"/>
      <color indexed="81"/>
      <name val="Consolas"/>
      <family val="3"/>
    </font>
    <font>
      <b/>
      <sz val="8"/>
      <color theme="0" tint="-0.14999847407452621"/>
      <name val="Consolas"/>
      <family val="3"/>
    </font>
    <font>
      <sz val="8"/>
      <color theme="0" tint="-0.14999847407452621"/>
      <name val="Consolas"/>
      <family val="3"/>
    </font>
    <font>
      <b/>
      <sz val="16"/>
      <color theme="0" tint="-0.14999847407452621"/>
      <name val="Consolas"/>
      <family val="3"/>
    </font>
    <font>
      <b/>
      <sz val="8"/>
      <color theme="0" tint="-0.1499984740745262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8FBC8B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6" fillId="0" borderId="0"/>
    <xf numFmtId="0" fontId="5" fillId="0" borderId="0"/>
    <xf numFmtId="0" fontId="1" fillId="0" borderId="0"/>
    <xf numFmtId="0" fontId="1" fillId="0" borderId="0"/>
    <xf numFmtId="0" fontId="7" fillId="0" borderId="0" applyNumberFormat="0" applyFill="0" applyBorder="0" applyAlignment="0" applyProtection="0"/>
    <xf numFmtId="0" fontId="6" fillId="0" borderId="0"/>
  </cellStyleXfs>
  <cellXfs count="122">
    <xf numFmtId="0" fontId="0" fillId="0" borderId="0" xfId="0"/>
    <xf numFmtId="0" fontId="2" fillId="0" borderId="1" xfId="1" applyNumberFormat="1" applyFont="1" applyBorder="1" applyAlignment="1" applyProtection="1">
      <alignment horizontal="center" vertical="top" textRotation="90" wrapText="1"/>
      <protection locked="0"/>
    </xf>
    <xf numFmtId="0" fontId="2" fillId="2" borderId="2" xfId="1" applyNumberFormat="1" applyFont="1" applyFill="1" applyBorder="1" applyAlignment="1" applyProtection="1">
      <alignment horizontal="center" vertical="top" textRotation="90" wrapText="1"/>
      <protection locked="0"/>
    </xf>
    <xf numFmtId="0" fontId="2" fillId="0" borderId="3" xfId="1" applyNumberFormat="1" applyFont="1" applyBorder="1" applyAlignment="1" applyProtection="1">
      <alignment horizontal="center" vertical="top" textRotation="90" wrapText="1"/>
      <protection locked="0"/>
    </xf>
    <xf numFmtId="0" fontId="2" fillId="0" borderId="2" xfId="1" applyNumberFormat="1" applyFont="1" applyBorder="1" applyAlignment="1" applyProtection="1">
      <alignment horizontal="center" vertical="top" textRotation="90" wrapText="1"/>
      <protection locked="0"/>
    </xf>
    <xf numFmtId="0" fontId="2" fillId="0" borderId="2" xfId="1" applyNumberFormat="1" applyFont="1" applyBorder="1" applyAlignment="1" applyProtection="1">
      <alignment horizontal="center" vertical="top" wrapText="1"/>
      <protection locked="0"/>
    </xf>
    <xf numFmtId="0" fontId="2" fillId="0" borderId="1" xfId="1" applyNumberFormat="1" applyFont="1" applyBorder="1" applyAlignment="1" applyProtection="1">
      <alignment horizontal="center" vertical="top" wrapText="1"/>
      <protection locked="0"/>
    </xf>
    <xf numFmtId="0" fontId="2" fillId="3" borderId="4" xfId="1" applyNumberFormat="1" applyFont="1" applyFill="1" applyBorder="1" applyAlignment="1" applyProtection="1">
      <alignment horizontal="center" vertical="top" textRotation="90" wrapText="1"/>
      <protection locked="0"/>
    </xf>
    <xf numFmtId="0" fontId="2" fillId="2" borderId="4" xfId="1" applyNumberFormat="1" applyFont="1" applyFill="1" applyBorder="1" applyAlignment="1" applyProtection="1">
      <alignment horizontal="center" vertical="top" textRotation="90" wrapText="1"/>
      <protection locked="0"/>
    </xf>
    <xf numFmtId="0" fontId="2" fillId="0" borderId="2" xfId="1" applyNumberFormat="1" applyFont="1" applyFill="1" applyBorder="1" applyAlignment="1" applyProtection="1">
      <alignment horizontal="center" vertical="top" textRotation="90" wrapText="1"/>
      <protection locked="0"/>
    </xf>
    <xf numFmtId="0" fontId="2" fillId="0" borderId="3" xfId="1" applyNumberFormat="1" applyFont="1" applyFill="1" applyBorder="1" applyAlignment="1" applyProtection="1">
      <alignment horizontal="center" vertical="top" wrapText="1"/>
      <protection locked="0"/>
    </xf>
    <xf numFmtId="0" fontId="2" fillId="0" borderId="2" xfId="1" applyNumberFormat="1" applyFont="1" applyFill="1" applyBorder="1" applyAlignment="1" applyProtection="1">
      <alignment horizontal="center" vertical="top" wrapText="1"/>
      <protection locked="0"/>
    </xf>
    <xf numFmtId="0" fontId="2" fillId="0" borderId="1" xfId="1" applyNumberFormat="1" applyFont="1" applyFill="1" applyBorder="1" applyAlignment="1" applyProtection="1">
      <alignment horizontal="center" vertical="top" wrapText="1"/>
      <protection locked="0"/>
    </xf>
    <xf numFmtId="0" fontId="2" fillId="0" borderId="3" xfId="1" applyNumberFormat="1" applyFont="1" applyFill="1" applyBorder="1" applyAlignment="1" applyProtection="1">
      <alignment horizontal="center" vertical="top" textRotation="90" wrapText="1"/>
      <protection locked="0"/>
    </xf>
    <xf numFmtId="0" fontId="2" fillId="0" borderId="1" xfId="1" applyNumberFormat="1" applyFont="1" applyFill="1" applyBorder="1" applyAlignment="1" applyProtection="1">
      <alignment horizontal="center" vertical="top" textRotation="90" wrapText="1"/>
      <protection locked="0"/>
    </xf>
    <xf numFmtId="0" fontId="3" fillId="0" borderId="2" xfId="1" applyNumberFormat="1" applyFont="1" applyFill="1" applyBorder="1" applyAlignment="1" applyProtection="1">
      <alignment horizontal="center" vertical="top"/>
      <protection locked="0"/>
    </xf>
    <xf numFmtId="0" fontId="2" fillId="4" borderId="2" xfId="1" applyNumberFormat="1" applyFont="1" applyFill="1" applyBorder="1" applyAlignment="1" applyProtection="1">
      <alignment horizontal="center" vertical="top" textRotation="90" wrapText="1"/>
      <protection locked="0"/>
    </xf>
    <xf numFmtId="0" fontId="3" fillId="0" borderId="0" xfId="1" applyNumberFormat="1" applyFont="1" applyFill="1" applyBorder="1" applyAlignment="1" applyProtection="1">
      <alignment horizontal="center" vertical="top"/>
      <protection locked="0"/>
    </xf>
    <xf numFmtId="0" fontId="3" fillId="0" borderId="5" xfId="1" applyNumberFormat="1" applyFont="1" applyBorder="1" applyAlignment="1" applyProtection="1">
      <alignment horizontal="center" textRotation="90" wrapText="1"/>
      <protection locked="0"/>
    </xf>
    <xf numFmtId="0" fontId="3" fillId="2" borderId="4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6" xfId="1" applyNumberFormat="1" applyFont="1" applyBorder="1" applyAlignment="1" applyProtection="1">
      <alignment horizontal="center" textRotation="90" wrapText="1"/>
      <protection locked="0"/>
    </xf>
    <xf numFmtId="0" fontId="3" fillId="0" borderId="4" xfId="1" applyNumberFormat="1" applyFont="1" applyBorder="1" applyAlignment="1" applyProtection="1">
      <alignment horizontal="center" textRotation="90" wrapText="1"/>
      <protection locked="0"/>
    </xf>
    <xf numFmtId="0" fontId="3" fillId="0" borderId="2" xfId="1" applyNumberFormat="1" applyFont="1" applyBorder="1" applyAlignment="1" applyProtection="1">
      <alignment horizontal="center" textRotation="90" wrapText="1"/>
      <protection locked="0"/>
    </xf>
    <xf numFmtId="0" fontId="3" fillId="3" borderId="7" xfId="1" applyNumberFormat="1" applyFont="1" applyFill="1" applyBorder="1" applyAlignment="1" applyProtection="1">
      <alignment horizontal="center" textRotation="90" wrapText="1"/>
      <protection locked="0"/>
    </xf>
    <xf numFmtId="0" fontId="3" fillId="2" borderId="7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1" xfId="1" applyNumberFormat="1" applyFont="1" applyBorder="1" applyAlignment="1" applyProtection="1">
      <alignment horizontal="center" textRotation="90" wrapText="1"/>
      <protection locked="0"/>
    </xf>
    <xf numFmtId="0" fontId="3" fillId="0" borderId="2" xfId="1" applyNumberFormat="1" applyFont="1" applyFill="1" applyBorder="1" applyAlignment="1" applyProtection="1">
      <alignment horizontal="center" textRotation="90" wrapText="1"/>
      <protection locked="0"/>
    </xf>
    <xf numFmtId="0" fontId="3" fillId="2" borderId="2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6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4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5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4" xfId="1" applyNumberFormat="1" applyFont="1" applyFill="1" applyBorder="1" applyAlignment="1" applyProtection="1">
      <alignment horizontal="left" textRotation="90" wrapText="1"/>
      <protection locked="0"/>
    </xf>
    <xf numFmtId="0" fontId="3" fillId="0" borderId="5" xfId="1" applyNumberFormat="1" applyFont="1" applyFill="1" applyBorder="1" applyAlignment="1" applyProtection="1">
      <alignment horizontal="left" textRotation="90" wrapText="1"/>
      <protection locked="0"/>
    </xf>
    <xf numFmtId="0" fontId="3" fillId="0" borderId="1" xfId="1" applyNumberFormat="1" applyFont="1" applyFill="1" applyBorder="1" applyAlignment="1" applyProtection="1">
      <alignment horizontal="center" textRotation="90" wrapText="1"/>
      <protection locked="0"/>
    </xf>
    <xf numFmtId="0" fontId="3" fillId="0" borderId="0" xfId="1" applyNumberFormat="1" applyFont="1" applyFill="1" applyBorder="1" applyAlignment="1" applyProtection="1">
      <alignment horizontal="center" textRotation="90" wrapText="1"/>
      <protection locked="0"/>
    </xf>
    <xf numFmtId="0" fontId="4" fillId="2" borderId="2" xfId="1" applyNumberFormat="1" applyFont="1" applyFill="1" applyBorder="1" applyAlignment="1" applyProtection="1">
      <alignment horizontal="center" vertical="center"/>
      <protection locked="0"/>
    </xf>
    <xf numFmtId="0" fontId="4" fillId="0" borderId="0" xfId="1" applyNumberFormat="1" applyFont="1" applyFill="1" applyBorder="1" applyAlignment="1" applyProtection="1">
      <alignment horizontal="center" vertical="center"/>
      <protection locked="0"/>
    </xf>
    <xf numFmtId="0" fontId="4" fillId="3" borderId="7" xfId="1" applyNumberFormat="1" applyFont="1" applyFill="1" applyBorder="1" applyAlignment="1" applyProtection="1">
      <alignment horizontal="center" vertical="center"/>
      <protection locked="0"/>
    </xf>
    <xf numFmtId="0" fontId="4" fillId="2" borderId="7" xfId="1" applyNumberFormat="1" applyFont="1" applyFill="1" applyBorder="1" applyAlignment="1" applyProtection="1">
      <alignment horizontal="center" vertical="center"/>
      <protection locked="0"/>
    </xf>
    <xf numFmtId="0" fontId="4" fillId="0" borderId="2" xfId="1" applyNumberFormat="1" applyFont="1" applyFill="1" applyBorder="1" applyAlignment="1" applyProtection="1">
      <alignment horizontal="center" vertical="center"/>
      <protection locked="0"/>
    </xf>
    <xf numFmtId="0" fontId="4" fillId="0" borderId="3" xfId="1" applyNumberFormat="1" applyFont="1" applyBorder="1" applyAlignment="1" applyProtection="1">
      <alignment horizontal="center" vertical="center"/>
      <protection locked="0"/>
    </xf>
    <xf numFmtId="0" fontId="4" fillId="0" borderId="2" xfId="1" applyNumberFormat="1" applyFont="1" applyBorder="1" applyAlignment="1" applyProtection="1">
      <alignment horizontal="center" vertical="center"/>
      <protection locked="0"/>
    </xf>
    <xf numFmtId="0" fontId="4" fillId="0" borderId="1" xfId="1" applyNumberFormat="1" applyFont="1" applyBorder="1" applyAlignment="1" applyProtection="1">
      <alignment horizontal="center" vertical="center"/>
      <protection locked="0"/>
    </xf>
    <xf numFmtId="0" fontId="4" fillId="0" borderId="3" xfId="1" applyNumberFormat="1" applyFont="1" applyFill="1" applyBorder="1" applyAlignment="1" applyProtection="1">
      <alignment horizontal="center" vertical="center"/>
      <protection locked="0"/>
    </xf>
    <xf numFmtId="0" fontId="4" fillId="0" borderId="2" xfId="1" applyNumberFormat="1" applyFont="1" applyFill="1" applyBorder="1" applyAlignment="1" applyProtection="1">
      <alignment horizontal="left" vertical="center"/>
      <protection locked="0"/>
    </xf>
    <xf numFmtId="0" fontId="4" fillId="0" borderId="3" xfId="1" applyNumberFormat="1" applyFont="1" applyFill="1" applyBorder="1" applyAlignment="1" applyProtection="1">
      <alignment horizontal="left" vertical="center"/>
      <protection locked="0"/>
    </xf>
    <xf numFmtId="0" fontId="4" fillId="0" borderId="1" xfId="1" applyNumberFormat="1" applyFont="1" applyFill="1" applyBorder="1" applyAlignment="1" applyProtection="1">
      <alignment horizontal="center" vertical="center"/>
      <protection locked="0"/>
    </xf>
    <xf numFmtId="0" fontId="4" fillId="0" borderId="1" xfId="1" applyNumberFormat="1" applyFont="1" applyFill="1" applyBorder="1" applyAlignment="1" applyProtection="1">
      <alignment horizontal="left" vertical="center"/>
      <protection locked="0"/>
    </xf>
    <xf numFmtId="0" fontId="4" fillId="0" borderId="8" xfId="1" applyNumberFormat="1" applyFont="1" applyBorder="1" applyAlignment="1" applyProtection="1">
      <alignment horizontal="center" vertical="center"/>
      <protection locked="0"/>
    </xf>
    <xf numFmtId="0" fontId="4" fillId="0" borderId="2" xfId="1" applyNumberFormat="1" applyFont="1" applyBorder="1" applyAlignment="1" applyProtection="1">
      <alignment horizontal="left" vertical="center"/>
      <protection locked="0"/>
    </xf>
    <xf numFmtId="0" fontId="16" fillId="7" borderId="11" xfId="4" applyNumberFormat="1" applyFont="1" applyFill="1" applyBorder="1" applyAlignment="1"/>
    <xf numFmtId="0" fontId="16" fillId="7" borderId="12" xfId="4" applyFont="1" applyFill="1" applyBorder="1" applyAlignment="1"/>
    <xf numFmtId="0" fontId="16" fillId="7" borderId="13" xfId="4" applyFont="1" applyFill="1" applyBorder="1" applyAlignment="1"/>
    <xf numFmtId="0" fontId="1" fillId="0" borderId="0" xfId="4" applyAlignment="1"/>
    <xf numFmtId="0" fontId="17" fillId="8" borderId="14" xfId="7" applyFont="1" applyFill="1" applyBorder="1" applyAlignment="1">
      <alignment horizontal="left" vertical="center"/>
    </xf>
    <xf numFmtId="0" fontId="17" fillId="8" borderId="0" xfId="7" applyFont="1" applyFill="1" applyBorder="1" applyAlignment="1">
      <alignment horizontal="left" vertical="center"/>
    </xf>
    <xf numFmtId="0" fontId="17" fillId="8" borderId="11" xfId="7" applyFont="1" applyFill="1" applyBorder="1" applyAlignment="1">
      <alignment horizontal="left" vertical="center"/>
    </xf>
    <xf numFmtId="0" fontId="17" fillId="8" borderId="12" xfId="7" applyFont="1" applyFill="1" applyBorder="1" applyAlignment="1">
      <alignment horizontal="left" vertical="center"/>
    </xf>
    <xf numFmtId="0" fontId="17" fillId="8" borderId="13" xfId="7" applyFont="1" applyFill="1" applyBorder="1" applyAlignment="1">
      <alignment horizontal="left" vertical="center"/>
    </xf>
    <xf numFmtId="0" fontId="1" fillId="5" borderId="10" xfId="4" applyNumberFormat="1" applyFill="1" applyBorder="1" applyAlignment="1"/>
    <xf numFmtId="0" fontId="1" fillId="5" borderId="10" xfId="4" applyFill="1" applyBorder="1" applyAlignment="1"/>
    <xf numFmtId="0" fontId="1" fillId="5" borderId="2" xfId="4" applyFill="1" applyBorder="1" applyAlignment="1"/>
    <xf numFmtId="0" fontId="1" fillId="0" borderId="10" xfId="4" quotePrefix="1" applyFill="1" applyBorder="1"/>
    <xf numFmtId="0" fontId="1" fillId="0" borderId="0" xfId="4" quotePrefix="1" applyFill="1" applyBorder="1"/>
    <xf numFmtId="0" fontId="1" fillId="5" borderId="2" xfId="4" applyNumberFormat="1" applyFill="1" applyBorder="1" applyAlignment="1"/>
    <xf numFmtId="0" fontId="1" fillId="0" borderId="2" xfId="4" applyBorder="1"/>
    <xf numFmtId="0" fontId="1" fillId="0" borderId="0" xfId="4" applyBorder="1"/>
    <xf numFmtId="0" fontId="18" fillId="0" borderId="2" xfId="4" applyFont="1" applyBorder="1" applyAlignment="1"/>
    <xf numFmtId="0" fontId="1" fillId="0" borderId="2" xfId="4" quotePrefix="1" applyBorder="1"/>
    <xf numFmtId="0" fontId="1" fillId="0" borderId="0" xfId="4" quotePrefix="1" applyBorder="1"/>
    <xf numFmtId="0" fontId="1" fillId="0" borderId="2" xfId="4" applyFont="1" applyBorder="1" applyAlignment="1"/>
    <xf numFmtId="0" fontId="1" fillId="0" borderId="10" xfId="4" applyNumberFormat="1" applyBorder="1" applyAlignment="1"/>
    <xf numFmtId="0" fontId="1" fillId="0" borderId="10" xfId="4" applyBorder="1" applyAlignment="1"/>
    <xf numFmtId="0" fontId="1" fillId="0" borderId="2" xfId="4" applyBorder="1" applyAlignment="1"/>
    <xf numFmtId="0" fontId="1" fillId="0" borderId="2" xfId="4" applyNumberFormat="1" applyBorder="1" applyAlignment="1"/>
    <xf numFmtId="0" fontId="1" fillId="0" borderId="2" xfId="4" applyFill="1" applyBorder="1"/>
    <xf numFmtId="0" fontId="1" fillId="0" borderId="0" xfId="4" applyFill="1" applyBorder="1"/>
    <xf numFmtId="0" fontId="6" fillId="0" borderId="2" xfId="4" applyFont="1" applyBorder="1"/>
    <xf numFmtId="0" fontId="6" fillId="0" borderId="0" xfId="4" applyFont="1" applyBorder="1"/>
    <xf numFmtId="0" fontId="17" fillId="0" borderId="0" xfId="7" applyFont="1" applyFill="1" applyBorder="1" applyAlignment="1">
      <alignment horizontal="center" vertical="center"/>
    </xf>
    <xf numFmtId="0" fontId="18" fillId="0" borderId="0" xfId="4" applyFont="1" applyBorder="1" applyAlignment="1"/>
    <xf numFmtId="0" fontId="1" fillId="0" borderId="0" xfId="4" applyFont="1" applyBorder="1" applyAlignment="1"/>
    <xf numFmtId="0" fontId="16" fillId="7" borderId="11" xfId="4" applyFont="1" applyFill="1" applyBorder="1"/>
    <xf numFmtId="0" fontId="16" fillId="7" borderId="13" xfId="4" applyFont="1" applyFill="1" applyBorder="1"/>
    <xf numFmtId="0" fontId="16" fillId="7" borderId="15" xfId="4" applyFont="1" applyFill="1" applyBorder="1"/>
    <xf numFmtId="0" fontId="1" fillId="0" borderId="0" xfId="4"/>
    <xf numFmtId="0" fontId="1" fillId="0" borderId="10" xfId="4" applyBorder="1"/>
    <xf numFmtId="0" fontId="1" fillId="0" borderId="16" xfId="4" applyBorder="1"/>
    <xf numFmtId="0" fontId="1" fillId="0" borderId="9" xfId="4" applyBorder="1"/>
    <xf numFmtId="0" fontId="1" fillId="5" borderId="16" xfId="4" applyFill="1" applyBorder="1"/>
    <xf numFmtId="0" fontId="1" fillId="0" borderId="17" xfId="4" applyBorder="1"/>
    <xf numFmtId="0" fontId="1" fillId="0" borderId="3" xfId="4" applyBorder="1"/>
    <xf numFmtId="0" fontId="1" fillId="0" borderId="17" xfId="4" applyBorder="1" applyAlignment="1">
      <alignment horizontal="left"/>
    </xf>
    <xf numFmtId="0" fontId="16" fillId="6" borderId="0" xfId="4" applyFont="1" applyFill="1" applyAlignment="1"/>
    <xf numFmtId="0" fontId="16" fillId="6" borderId="0" xfId="4" applyFont="1" applyFill="1"/>
    <xf numFmtId="0" fontId="16" fillId="6" borderId="0" xfId="4" applyFont="1" applyFill="1" applyAlignment="1">
      <alignment horizontal="left"/>
    </xf>
    <xf numFmtId="0" fontId="16" fillId="0" borderId="0" xfId="4" quotePrefix="1" applyFont="1" applyFill="1"/>
    <xf numFmtId="0" fontId="16" fillId="0" borderId="0" xfId="4" applyFont="1" applyFill="1"/>
    <xf numFmtId="0" fontId="1" fillId="0" borderId="0" xfId="4" applyAlignment="1">
      <alignment horizontal="left"/>
    </xf>
    <xf numFmtId="0" fontId="2" fillId="0" borderId="3" xfId="1" applyNumberFormat="1" applyFont="1" applyBorder="1" applyAlignment="1" applyProtection="1">
      <alignment horizontal="center" vertical="top" wrapText="1"/>
      <protection locked="0"/>
    </xf>
    <xf numFmtId="0" fontId="21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1" fillId="2" borderId="2" xfId="1" applyNumberFormat="1" applyFont="1" applyFill="1" applyBorder="1" applyAlignment="1" applyProtection="1">
      <alignment horizontal="center" vertical="center" wrapText="1"/>
      <protection locked="0"/>
    </xf>
    <xf numFmtId="0" fontId="21" fillId="3" borderId="8" xfId="1" applyNumberFormat="1" applyFont="1" applyFill="1" applyBorder="1" applyAlignment="1" applyProtection="1">
      <alignment horizontal="center" vertical="center" wrapText="1"/>
      <protection locked="0"/>
    </xf>
    <xf numFmtId="0" fontId="22" fillId="3" borderId="8" xfId="1" applyNumberFormat="1" applyFont="1" applyFill="1" applyBorder="1" applyAlignment="1" applyProtection="1">
      <alignment horizontal="center" vertical="center"/>
      <protection locked="0"/>
    </xf>
    <xf numFmtId="0" fontId="21" fillId="3" borderId="3" xfId="1" applyNumberFormat="1" applyFont="1" applyFill="1" applyBorder="1" applyAlignment="1" applyProtection="1">
      <alignment horizontal="center" vertical="center" wrapText="1"/>
      <protection locked="0"/>
    </xf>
    <xf numFmtId="0" fontId="23" fillId="3" borderId="2" xfId="1" applyNumberFormat="1" applyFont="1" applyFill="1" applyBorder="1" applyAlignment="1" applyProtection="1">
      <alignment horizontal="left" vertical="center"/>
      <protection locked="0"/>
    </xf>
    <xf numFmtId="0" fontId="21" fillId="3" borderId="2" xfId="1" applyNumberFormat="1" applyFont="1" applyFill="1" applyBorder="1" applyAlignment="1" applyProtection="1">
      <alignment horizontal="left" vertical="center"/>
      <protection locked="0"/>
    </xf>
    <xf numFmtId="0" fontId="21" fillId="3" borderId="2" xfId="1" applyNumberFormat="1" applyFont="1" applyFill="1" applyBorder="1" applyAlignment="1" applyProtection="1">
      <alignment horizontal="left" vertical="center" wrapText="1"/>
      <protection locked="0"/>
    </xf>
    <xf numFmtId="0" fontId="22" fillId="3" borderId="2" xfId="1" applyNumberFormat="1" applyFont="1" applyFill="1" applyBorder="1" applyAlignment="1" applyProtection="1">
      <alignment horizontal="center" vertical="center"/>
      <protection locked="0"/>
    </xf>
    <xf numFmtId="0" fontId="21" fillId="3" borderId="2" xfId="1" applyNumberFormat="1" applyFont="1" applyFill="1" applyBorder="1" applyAlignment="1" applyProtection="1">
      <alignment horizontal="center" vertical="center" wrapText="1"/>
      <protection locked="0"/>
    </xf>
    <xf numFmtId="0" fontId="22" fillId="3" borderId="3" xfId="1" applyNumberFormat="1" applyFont="1" applyFill="1" applyBorder="1" applyAlignment="1" applyProtection="1">
      <alignment horizontal="center" vertical="center"/>
      <protection locked="0"/>
    </xf>
    <xf numFmtId="0" fontId="21" fillId="3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22" fillId="3" borderId="1" xfId="1" applyNumberFormat="1" applyFont="1" applyFill="1" applyBorder="1" applyAlignment="1" applyProtection="1">
      <alignment horizontal="center" vertical="center"/>
      <protection locked="0"/>
    </xf>
    <xf numFmtId="0" fontId="22" fillId="2" borderId="2" xfId="1" applyNumberFormat="1" applyFont="1" applyFill="1" applyBorder="1" applyAlignment="1" applyProtection="1">
      <alignment horizontal="center" vertical="center"/>
      <protection locked="0"/>
    </xf>
    <xf numFmtId="0" fontId="21" fillId="3" borderId="1" xfId="1" applyNumberFormat="1" applyFont="1" applyFill="1" applyBorder="1" applyAlignment="1" applyProtection="1">
      <alignment horizontal="center" vertical="center" textRotation="90" wrapText="1"/>
      <protection locked="0"/>
    </xf>
    <xf numFmtId="0" fontId="21" fillId="3" borderId="3" xfId="1" applyNumberFormat="1" applyFont="1" applyFill="1" applyBorder="1" applyAlignment="1" applyProtection="1">
      <alignment horizontal="center" vertical="center" textRotation="90" wrapText="1"/>
      <protection locked="0"/>
    </xf>
    <xf numFmtId="0" fontId="21" fillId="2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22" fillId="3" borderId="2" xfId="1" applyNumberFormat="1" applyFont="1" applyFill="1" applyBorder="1" applyAlignment="1" applyProtection="1">
      <alignment horizontal="center" vertical="center" wrapText="1"/>
      <protection locked="0"/>
    </xf>
    <xf numFmtId="0" fontId="22" fillId="3" borderId="3" xfId="1" applyNumberFormat="1" applyFont="1" applyFill="1" applyBorder="1" applyAlignment="1" applyProtection="1">
      <alignment horizontal="left" vertical="center"/>
      <protection locked="0"/>
    </xf>
    <xf numFmtId="0" fontId="22" fillId="3" borderId="2" xfId="1" applyNumberFormat="1" applyFont="1" applyFill="1" applyBorder="1" applyAlignment="1" applyProtection="1">
      <alignment horizontal="left" vertical="center"/>
      <protection locked="0"/>
    </xf>
    <xf numFmtId="0" fontId="22" fillId="3" borderId="1" xfId="1" applyNumberFormat="1" applyFont="1" applyFill="1" applyBorder="1" applyAlignment="1" applyProtection="1">
      <alignment horizontal="left" vertical="center"/>
      <protection locked="0"/>
    </xf>
    <xf numFmtId="0" fontId="24" fillId="4" borderId="2" xfId="1" applyNumberFormat="1" applyFont="1" applyFill="1" applyBorder="1" applyAlignment="1" applyProtection="1">
      <alignment horizontal="center" vertical="top" textRotation="90" wrapText="1"/>
      <protection locked="0"/>
    </xf>
  </cellXfs>
  <cellStyles count="8">
    <cellStyle name="Link 2" xfId="6" xr:uid="{00000000-0005-0000-0000-000000000000}"/>
    <cellStyle name="Standard" xfId="0" builtinId="0"/>
    <cellStyle name="Standard 11" xfId="3" xr:uid="{00000000-0005-0000-0000-000002000000}"/>
    <cellStyle name="Standard 12" xfId="4" xr:uid="{00000000-0005-0000-0000-000003000000}"/>
    <cellStyle name="Standard 2" xfId="1" xr:uid="{00000000-0005-0000-0000-000004000000}"/>
    <cellStyle name="Standard 2 2" xfId="2" xr:uid="{00000000-0005-0000-0000-000005000000}"/>
    <cellStyle name="Standard 6" xfId="5" xr:uid="{00000000-0005-0000-0000-000006000000}"/>
    <cellStyle name="Standard_IF Tabelle11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outlinePr summaryBelow="0" summaryRight="0"/>
    <pageSetUpPr fitToPage="1"/>
  </sheetPr>
  <dimension ref="A1:DN3"/>
  <sheetViews>
    <sheetView tabSelected="1" zoomScaleNormal="100" workbookViewId="0">
      <pane xSplit="14" ySplit="3" topLeftCell="O4" activePane="bottomRight" state="frozen"/>
      <selection pane="topRight" activeCell="P1" sqref="P1"/>
      <selection pane="bottomLeft" activeCell="A4" sqref="A4"/>
      <selection pane="bottomRight" activeCell="K18" sqref="K18"/>
    </sheetView>
  </sheetViews>
  <sheetFormatPr baseColWidth="10" defaultColWidth="11.42578125" defaultRowHeight="11.25" outlineLevelRow="1" outlineLevelCol="1" x14ac:dyDescent="0.2"/>
  <cols>
    <col min="1" max="1" width="3.85546875" style="42" customWidth="1"/>
    <col min="2" max="2" width="3.85546875" style="35" customWidth="1"/>
    <col min="3" max="7" width="6.7109375" style="48" customWidth="1"/>
    <col min="8" max="9" width="25.7109375" style="49" customWidth="1"/>
    <col min="10" max="10" width="28.140625" style="49" customWidth="1"/>
    <col min="11" max="12" width="25.7109375" style="49" customWidth="1"/>
    <col min="13" max="13" width="19.7109375" style="42" customWidth="1"/>
    <col min="14" max="14" width="4.85546875" style="41" customWidth="1"/>
    <col min="15" max="15" width="3" style="37" customWidth="1"/>
    <col min="16" max="18" width="13.7109375" style="41" customWidth="1" outlineLevel="1"/>
    <col min="19" max="23" width="10.7109375" style="41" customWidth="1" outlineLevel="1"/>
    <col min="24" max="24" width="3" style="37" customWidth="1"/>
    <col min="25" max="25" width="5.7109375" style="40" customWidth="1" outlineLevel="1"/>
    <col min="26" max="29" width="5.7109375" style="41" customWidth="1" outlineLevel="1"/>
    <col min="30" max="30" width="5.7109375" style="42" customWidth="1" outlineLevel="1"/>
    <col min="31" max="31" width="3" style="37" customWidth="1"/>
    <col min="32" max="32" width="5.7109375" style="40" customWidth="1" outlineLevel="1"/>
    <col min="33" max="33" width="5.7109375" style="41" customWidth="1" outlineLevel="1"/>
    <col min="34" max="34" width="5.7109375" style="42" customWidth="1" outlineLevel="1"/>
    <col min="35" max="35" width="3.140625" style="38" customWidth="1"/>
    <col min="36" max="37" width="5.7109375" style="41" customWidth="1" outlineLevel="1"/>
    <col min="38" max="38" width="5.7109375" style="42" customWidth="1" outlineLevel="1"/>
    <col min="39" max="39" width="3" style="38" customWidth="1"/>
    <col min="40" max="40" width="5.7109375" style="40" customWidth="1" outlineLevel="1"/>
    <col min="41" max="46" width="5.7109375" style="41" customWidth="1" outlineLevel="1"/>
    <col min="47" max="47" width="10.85546875" style="41" customWidth="1"/>
    <col min="48" max="51" width="5.7109375" style="41" customWidth="1" outlineLevel="1"/>
    <col min="52" max="52" width="5.7109375" style="42" customWidth="1" outlineLevel="1"/>
    <col min="53" max="53" width="3" style="38" customWidth="1"/>
    <col min="54" max="54" width="5.7109375" style="40" customWidth="1" outlineLevel="1"/>
    <col min="55" max="59" width="5.7109375" style="41" customWidth="1" outlineLevel="1"/>
    <col min="60" max="60" width="3" style="38" customWidth="1"/>
    <col min="61" max="63" width="5.7109375" style="41" customWidth="1" outlineLevel="1"/>
    <col min="64" max="64" width="5.7109375" style="42" customWidth="1" outlineLevel="1"/>
    <col min="65" max="65" width="3" style="38" customWidth="1"/>
    <col min="66" max="66" width="8" style="39" customWidth="1" outlineLevel="1"/>
    <col min="67" max="67" width="5.7109375" style="39" customWidth="1" outlineLevel="1"/>
    <col min="68" max="68" width="5.7109375" style="41" customWidth="1" outlineLevel="1"/>
    <col min="69" max="69" width="3" style="38" customWidth="1"/>
    <col min="70" max="72" width="5.7109375" style="39" customWidth="1" outlineLevel="1"/>
    <col min="73" max="73" width="3" style="35" customWidth="1"/>
    <col min="74" max="76" width="5.7109375" style="39" customWidth="1" outlineLevel="1"/>
    <col min="77" max="77" width="3" style="38" customWidth="1"/>
    <col min="78" max="78" width="27.42578125" style="45" customWidth="1" outlineLevel="1"/>
    <col min="79" max="79" width="44.7109375" style="44" customWidth="1" outlineLevel="1"/>
    <col min="80" max="80" width="36.85546875" style="44" customWidth="1" outlineLevel="1"/>
    <col min="81" max="81" width="33.42578125" style="44" customWidth="1" outlineLevel="1"/>
    <col min="82" max="82" width="36.85546875" style="44" customWidth="1" outlineLevel="1"/>
    <col min="83" max="83" width="55.140625" style="44" customWidth="1" outlineLevel="1"/>
    <col min="84" max="84" width="18.28515625" style="46" customWidth="1" outlineLevel="1"/>
    <col min="85" max="85" width="3" style="37" customWidth="1"/>
    <col min="86" max="86" width="3" style="43" customWidth="1" outlineLevel="1"/>
    <col min="87" max="87" width="3" style="46" customWidth="1" outlineLevel="1"/>
    <col min="88" max="88" width="3" style="37" customWidth="1"/>
    <col min="89" max="89" width="8.42578125" style="43" customWidth="1" outlineLevel="1"/>
    <col min="90" max="90" width="6.5703125" style="44" customWidth="1" outlineLevel="1"/>
    <col min="91" max="91" width="8" style="44" customWidth="1" outlineLevel="1"/>
    <col min="92" max="92" width="24.28515625" style="47" customWidth="1" outlineLevel="1"/>
    <col min="93" max="93" width="3" style="38" customWidth="1"/>
    <col min="94" max="94" width="4.28515625" style="43" customWidth="1" outlineLevel="1"/>
    <col min="95" max="99" width="3" style="39" customWidth="1" outlineLevel="1"/>
    <col min="100" max="100" width="20" style="44" customWidth="1" outlineLevel="1"/>
    <col min="101" max="101" width="24.85546875" style="47" customWidth="1" outlineLevel="1"/>
    <col min="102" max="102" width="3" style="38" customWidth="1"/>
    <col min="103" max="103" width="3" style="43" customWidth="1" outlineLevel="1"/>
    <col min="104" max="105" width="6.5703125" style="39" customWidth="1" outlineLevel="1"/>
    <col min="106" max="106" width="6.5703125" style="46" customWidth="1" outlineLevel="1"/>
    <col min="107" max="107" width="11.42578125" style="39"/>
    <col min="108" max="108" width="3" style="16" bestFit="1" customWidth="1"/>
    <col min="109" max="110" width="3" style="39" customWidth="1" outlineLevel="1"/>
    <col min="111" max="111" width="3" style="16" bestFit="1" customWidth="1"/>
    <col min="112" max="114" width="3" style="39" customWidth="1" outlineLevel="1"/>
    <col min="115" max="115" width="3" style="16" bestFit="1" customWidth="1"/>
    <col min="116" max="116" width="13.140625" style="39" customWidth="1" outlineLevel="1"/>
    <col min="117" max="118" width="14.7109375" style="39" customWidth="1" outlineLevel="1"/>
    <col min="119" max="16384" width="11.42578125" style="36"/>
  </cols>
  <sheetData>
    <row r="1" spans="1:118" s="17" customFormat="1" ht="124.5" customHeight="1" collapsed="1" x14ac:dyDescent="0.2">
      <c r="A1" s="1" t="s">
        <v>0</v>
      </c>
      <c r="B1" s="2" t="s">
        <v>1</v>
      </c>
      <c r="C1" s="99" t="s">
        <v>813</v>
      </c>
      <c r="D1" s="5" t="s">
        <v>814</v>
      </c>
      <c r="E1" s="5" t="s">
        <v>815</v>
      </c>
      <c r="F1" s="5" t="s">
        <v>816</v>
      </c>
      <c r="G1" s="5" t="s">
        <v>817</v>
      </c>
      <c r="H1" s="5" t="str">
        <f ca="1">"BEREICH"&amp;"
(Langtext0 max."&amp;INDIRECT("Definitions!$F$8")&amp;" Zeichen)"</f>
        <v>BEREICH
(Langtext0 max.15 Zeichen)</v>
      </c>
      <c r="I1" s="5" t="str">
        <f ca="1">"BAUWERK"&amp;"
(Langtext1 max."&amp;INDIRECT("Definitions!$F$9")&amp;" Zeichen)"</f>
        <v>BAUWERK
(Langtext1 max.20 Zeichen)</v>
      </c>
      <c r="J1" s="5" t="str">
        <f ca="1">"FUNKTION"&amp;"
(Langtext2 max."&amp;INDIRECT("Definitions!$F$10")&amp;" Zeichen)"</f>
        <v>FUNKTION
(Langtext2 max.30 Zeichen)</v>
      </c>
      <c r="K1" s="5" t="str">
        <f ca="1">"ELEMENT"&amp;"
(Langtext3 max."&amp;INDIRECT("Definitions!$F$11")&amp;" Zeichen)"</f>
        <v>ELEMENT
(Langtext3 max.16 Zeichen)</v>
      </c>
      <c r="L1" s="5" t="s">
        <v>818</v>
      </c>
      <c r="M1" s="6" t="s">
        <v>2</v>
      </c>
      <c r="N1" s="4" t="s">
        <v>3</v>
      </c>
      <c r="O1" s="7" t="s">
        <v>4</v>
      </c>
      <c r="P1" s="5" t="s">
        <v>5</v>
      </c>
      <c r="Q1" s="5" t="s">
        <v>6</v>
      </c>
      <c r="R1" s="5" t="s">
        <v>7</v>
      </c>
      <c r="S1" s="5" t="s">
        <v>8</v>
      </c>
      <c r="T1" s="5" t="s">
        <v>9</v>
      </c>
      <c r="U1" s="5" t="s">
        <v>10</v>
      </c>
      <c r="V1" s="5" t="s">
        <v>11</v>
      </c>
      <c r="W1" s="5" t="s">
        <v>12</v>
      </c>
      <c r="X1" s="7" t="s">
        <v>13</v>
      </c>
      <c r="Y1" s="3" t="s">
        <v>14</v>
      </c>
      <c r="Z1" s="4" t="s">
        <v>15</v>
      </c>
      <c r="AA1" s="4" t="s">
        <v>16</v>
      </c>
      <c r="AB1" s="4" t="s">
        <v>17</v>
      </c>
      <c r="AC1" s="4" t="s">
        <v>18</v>
      </c>
      <c r="AD1" s="1" t="s">
        <v>19</v>
      </c>
      <c r="AE1" s="7" t="s">
        <v>20</v>
      </c>
      <c r="AF1" s="3" t="s">
        <v>21</v>
      </c>
      <c r="AG1" s="4" t="s">
        <v>22</v>
      </c>
      <c r="AH1" s="1" t="s">
        <v>23</v>
      </c>
      <c r="AI1" s="8" t="s">
        <v>24</v>
      </c>
      <c r="AJ1" s="4" t="s">
        <v>25</v>
      </c>
      <c r="AK1" s="4" t="s">
        <v>26</v>
      </c>
      <c r="AL1" s="1" t="s">
        <v>27</v>
      </c>
      <c r="AM1" s="8" t="s">
        <v>28</v>
      </c>
      <c r="AN1" s="3" t="s">
        <v>29</v>
      </c>
      <c r="AO1" s="4" t="s">
        <v>30</v>
      </c>
      <c r="AP1" s="4" t="s">
        <v>25</v>
      </c>
      <c r="AQ1" s="4" t="s">
        <v>31</v>
      </c>
      <c r="AR1" s="4" t="s">
        <v>32</v>
      </c>
      <c r="AS1" s="4" t="s">
        <v>33</v>
      </c>
      <c r="AT1" s="4" t="s">
        <v>34</v>
      </c>
      <c r="AU1" s="5" t="s">
        <v>35</v>
      </c>
      <c r="AV1" s="4" t="s">
        <v>36</v>
      </c>
      <c r="AW1" s="4" t="s">
        <v>37</v>
      </c>
      <c r="AX1" s="4" t="s">
        <v>38</v>
      </c>
      <c r="AY1" s="4" t="s">
        <v>39</v>
      </c>
      <c r="AZ1" s="1" t="s">
        <v>40</v>
      </c>
      <c r="BA1" s="8" t="s">
        <v>41</v>
      </c>
      <c r="BB1" s="3" t="s">
        <v>25</v>
      </c>
      <c r="BC1" s="4" t="s">
        <v>31</v>
      </c>
      <c r="BD1" s="4" t="s">
        <v>42</v>
      </c>
      <c r="BE1" s="4" t="s">
        <v>43</v>
      </c>
      <c r="BF1" s="4" t="s">
        <v>44</v>
      </c>
      <c r="BG1" s="4" t="s">
        <v>45</v>
      </c>
      <c r="BH1" s="8" t="s">
        <v>46</v>
      </c>
      <c r="BI1" s="4" t="s">
        <v>47</v>
      </c>
      <c r="BJ1" s="4" t="s">
        <v>48</v>
      </c>
      <c r="BK1" s="4" t="s">
        <v>49</v>
      </c>
      <c r="BL1" s="1" t="s">
        <v>50</v>
      </c>
      <c r="BM1" s="8" t="s">
        <v>51</v>
      </c>
      <c r="BN1" s="9" t="s">
        <v>25</v>
      </c>
      <c r="BO1" s="9" t="s">
        <v>31</v>
      </c>
      <c r="BP1" s="4" t="s">
        <v>52</v>
      </c>
      <c r="BQ1" s="8" t="s">
        <v>53</v>
      </c>
      <c r="BR1" s="9" t="s">
        <v>25</v>
      </c>
      <c r="BS1" s="9" t="s">
        <v>31</v>
      </c>
      <c r="BT1" s="9" t="s">
        <v>54</v>
      </c>
      <c r="BU1" s="2" t="s">
        <v>55</v>
      </c>
      <c r="BV1" s="9" t="s">
        <v>25</v>
      </c>
      <c r="BW1" s="9" t="s">
        <v>31</v>
      </c>
      <c r="BX1" s="9" t="s">
        <v>54</v>
      </c>
      <c r="BY1" s="8" t="s">
        <v>56</v>
      </c>
      <c r="BZ1" s="10" t="s">
        <v>36</v>
      </c>
      <c r="CA1" s="11" t="s">
        <v>57</v>
      </c>
      <c r="CB1" s="11" t="s">
        <v>58</v>
      </c>
      <c r="CC1" s="11" t="s">
        <v>59</v>
      </c>
      <c r="CD1" s="11" t="s">
        <v>60</v>
      </c>
      <c r="CE1" s="11" t="s">
        <v>61</v>
      </c>
      <c r="CF1" s="12" t="s">
        <v>62</v>
      </c>
      <c r="CG1" s="7" t="s">
        <v>63</v>
      </c>
      <c r="CH1" s="13" t="s">
        <v>64</v>
      </c>
      <c r="CI1" s="14" t="s">
        <v>65</v>
      </c>
      <c r="CJ1" s="7" t="s">
        <v>66</v>
      </c>
      <c r="CK1" s="13" t="s">
        <v>67</v>
      </c>
      <c r="CL1" s="9" t="s">
        <v>68</v>
      </c>
      <c r="CM1" s="9" t="s">
        <v>69</v>
      </c>
      <c r="CN1" s="14" t="s">
        <v>70</v>
      </c>
      <c r="CO1" s="8" t="s">
        <v>71</v>
      </c>
      <c r="CP1" s="13" t="s">
        <v>72</v>
      </c>
      <c r="CQ1" s="9" t="s">
        <v>73</v>
      </c>
      <c r="CR1" s="9" t="s">
        <v>74</v>
      </c>
      <c r="CS1" s="9" t="s">
        <v>75</v>
      </c>
      <c r="CT1" s="9" t="s">
        <v>76</v>
      </c>
      <c r="CU1" s="9" t="s">
        <v>77</v>
      </c>
      <c r="CV1" s="9" t="s">
        <v>78</v>
      </c>
      <c r="CW1" s="14" t="s">
        <v>79</v>
      </c>
      <c r="CX1" s="8" t="s">
        <v>80</v>
      </c>
      <c r="CY1" s="13" t="s">
        <v>3</v>
      </c>
      <c r="CZ1" s="9" t="s">
        <v>81</v>
      </c>
      <c r="DA1" s="9" t="s">
        <v>82</v>
      </c>
      <c r="DB1" s="14" t="s">
        <v>83</v>
      </c>
      <c r="DC1" s="15"/>
      <c r="DD1" s="16" t="s">
        <v>84</v>
      </c>
      <c r="DE1" s="4" t="s">
        <v>85</v>
      </c>
      <c r="DF1" s="1" t="s">
        <v>86</v>
      </c>
      <c r="DG1" s="16" t="s">
        <v>87</v>
      </c>
      <c r="DH1" s="9" t="s">
        <v>88</v>
      </c>
      <c r="DI1" s="9" t="s">
        <v>89</v>
      </c>
      <c r="DJ1" s="9" t="s">
        <v>90</v>
      </c>
      <c r="DK1" s="16" t="s">
        <v>91</v>
      </c>
      <c r="DL1" s="4" t="s">
        <v>92</v>
      </c>
      <c r="DM1" s="4" t="s">
        <v>93</v>
      </c>
      <c r="DN1" s="4" t="s">
        <v>94</v>
      </c>
    </row>
    <row r="2" spans="1:118" s="34" customFormat="1" ht="185.25" hidden="1" customHeight="1" outlineLevel="1" x14ac:dyDescent="0.2">
      <c r="A2" s="18" t="s">
        <v>95</v>
      </c>
      <c r="B2" s="19"/>
      <c r="C2" s="20" t="s">
        <v>96</v>
      </c>
      <c r="D2" s="21" t="s">
        <v>97</v>
      </c>
      <c r="E2" s="21" t="s">
        <v>98</v>
      </c>
      <c r="F2" s="21" t="s">
        <v>99</v>
      </c>
      <c r="G2" s="21" t="s">
        <v>100</v>
      </c>
      <c r="H2" s="21" t="s">
        <v>101</v>
      </c>
      <c r="I2" s="21" t="s">
        <v>102</v>
      </c>
      <c r="J2" s="21" t="s">
        <v>103</v>
      </c>
      <c r="K2" s="21" t="s">
        <v>104</v>
      </c>
      <c r="L2" s="21" t="s">
        <v>105</v>
      </c>
      <c r="M2" s="18" t="s">
        <v>106</v>
      </c>
      <c r="N2" s="22" t="s">
        <v>107</v>
      </c>
      <c r="O2" s="23"/>
      <c r="P2" s="21" t="s">
        <v>108</v>
      </c>
      <c r="Q2" s="21" t="s">
        <v>109</v>
      </c>
      <c r="R2" s="21" t="s">
        <v>110</v>
      </c>
      <c r="S2" s="21" t="s">
        <v>111</v>
      </c>
      <c r="T2" s="21" t="s">
        <v>112</v>
      </c>
      <c r="U2" s="21" t="s">
        <v>113</v>
      </c>
      <c r="V2" s="21" t="s">
        <v>114</v>
      </c>
      <c r="W2" s="21" t="s">
        <v>115</v>
      </c>
      <c r="X2" s="23"/>
      <c r="Y2" s="20" t="s">
        <v>116</v>
      </c>
      <c r="Z2" s="21" t="s">
        <v>117</v>
      </c>
      <c r="AA2" s="21" t="s">
        <v>118</v>
      </c>
      <c r="AB2" s="21" t="s">
        <v>119</v>
      </c>
      <c r="AC2" s="21" t="s">
        <v>120</v>
      </c>
      <c r="AD2" s="18" t="s">
        <v>121</v>
      </c>
      <c r="AE2" s="23"/>
      <c r="AF2" s="20" t="s">
        <v>122</v>
      </c>
      <c r="AG2" s="21" t="s">
        <v>123</v>
      </c>
      <c r="AH2" s="18" t="s">
        <v>124</v>
      </c>
      <c r="AI2" s="24"/>
      <c r="AJ2" s="22" t="s">
        <v>125</v>
      </c>
      <c r="AK2" s="22" t="s">
        <v>126</v>
      </c>
      <c r="AL2" s="25" t="s">
        <v>127</v>
      </c>
      <c r="AM2" s="24"/>
      <c r="AN2" s="20" t="s">
        <v>128</v>
      </c>
      <c r="AO2" s="21" t="s">
        <v>129</v>
      </c>
      <c r="AP2" s="21" t="s">
        <v>130</v>
      </c>
      <c r="AQ2" s="21" t="s">
        <v>131</v>
      </c>
      <c r="AR2" s="21" t="s">
        <v>132</v>
      </c>
      <c r="AS2" s="21" t="s">
        <v>133</v>
      </c>
      <c r="AT2" s="21" t="s">
        <v>134</v>
      </c>
      <c r="AU2" s="21" t="s">
        <v>135</v>
      </c>
      <c r="AV2" s="21" t="s">
        <v>136</v>
      </c>
      <c r="AW2" s="22" t="s">
        <v>137</v>
      </c>
      <c r="AX2" s="22" t="s">
        <v>138</v>
      </c>
      <c r="AY2" s="21" t="s">
        <v>139</v>
      </c>
      <c r="AZ2" s="18" t="s">
        <v>140</v>
      </c>
      <c r="BA2" s="24"/>
      <c r="BB2" s="20" t="s">
        <v>141</v>
      </c>
      <c r="BC2" s="21" t="s">
        <v>142</v>
      </c>
      <c r="BD2" s="21" t="s">
        <v>143</v>
      </c>
      <c r="BE2" s="21" t="s">
        <v>144</v>
      </c>
      <c r="BF2" s="21" t="s">
        <v>145</v>
      </c>
      <c r="BG2" s="21" t="s">
        <v>146</v>
      </c>
      <c r="BH2" s="24"/>
      <c r="BI2" s="21" t="s">
        <v>147</v>
      </c>
      <c r="BJ2" s="21" t="s">
        <v>148</v>
      </c>
      <c r="BK2" s="21" t="s">
        <v>149</v>
      </c>
      <c r="BL2" s="18" t="s">
        <v>150</v>
      </c>
      <c r="BM2" s="24"/>
      <c r="BN2" s="26"/>
      <c r="BO2" s="26"/>
      <c r="BP2" s="22" t="s">
        <v>151</v>
      </c>
      <c r="BQ2" s="24"/>
      <c r="BR2" s="26" t="s">
        <v>152</v>
      </c>
      <c r="BS2" s="26" t="s">
        <v>153</v>
      </c>
      <c r="BT2" s="26" t="s">
        <v>154</v>
      </c>
      <c r="BU2" s="27"/>
      <c r="BV2" s="26" t="s">
        <v>155</v>
      </c>
      <c r="BW2" s="26" t="s">
        <v>156</v>
      </c>
      <c r="BX2" s="26" t="s">
        <v>157</v>
      </c>
      <c r="BY2" s="24"/>
      <c r="BZ2" s="28" t="s">
        <v>158</v>
      </c>
      <c r="CA2" s="29" t="s">
        <v>159</v>
      </c>
      <c r="CB2" s="29" t="s">
        <v>160</v>
      </c>
      <c r="CC2" s="29" t="s">
        <v>161</v>
      </c>
      <c r="CD2" s="29" t="s">
        <v>162</v>
      </c>
      <c r="CE2" s="29" t="s">
        <v>163</v>
      </c>
      <c r="CF2" s="30" t="s">
        <v>164</v>
      </c>
      <c r="CG2" s="23"/>
      <c r="CH2" s="28" t="s">
        <v>165</v>
      </c>
      <c r="CI2" s="30" t="s">
        <v>166</v>
      </c>
      <c r="CJ2" s="23"/>
      <c r="CK2" s="28" t="s">
        <v>167</v>
      </c>
      <c r="CL2" s="29" t="s">
        <v>168</v>
      </c>
      <c r="CM2" s="29" t="s">
        <v>169</v>
      </c>
      <c r="CN2" s="30" t="s">
        <v>170</v>
      </c>
      <c r="CO2" s="24"/>
      <c r="CP2" s="28" t="s">
        <v>171</v>
      </c>
      <c r="CQ2" s="29" t="s">
        <v>172</v>
      </c>
      <c r="CR2" s="29" t="s">
        <v>173</v>
      </c>
      <c r="CS2" s="29" t="s">
        <v>174</v>
      </c>
      <c r="CT2" s="29" t="s">
        <v>175</v>
      </c>
      <c r="CU2" s="29" t="s">
        <v>176</v>
      </c>
      <c r="CV2" s="31" t="s">
        <v>177</v>
      </c>
      <c r="CW2" s="32" t="s">
        <v>178</v>
      </c>
      <c r="CX2" s="24"/>
      <c r="CY2" s="28" t="s">
        <v>179</v>
      </c>
      <c r="CZ2" s="29" t="s">
        <v>180</v>
      </c>
      <c r="DA2" s="29" t="s">
        <v>181</v>
      </c>
      <c r="DB2" s="30" t="s">
        <v>182</v>
      </c>
      <c r="DC2" s="26"/>
      <c r="DD2" s="16"/>
      <c r="DE2" s="26" t="s">
        <v>183</v>
      </c>
      <c r="DF2" s="33" t="s">
        <v>184</v>
      </c>
      <c r="DG2" s="16"/>
      <c r="DH2" s="26"/>
      <c r="DI2" s="26"/>
      <c r="DJ2" s="26"/>
      <c r="DK2" s="16"/>
      <c r="DL2" s="26"/>
      <c r="DM2" s="26"/>
      <c r="DN2" s="26"/>
    </row>
    <row r="3" spans="1:118" s="103" customFormat="1" ht="15.75" customHeight="1" collapsed="1" x14ac:dyDescent="0.2">
      <c r="A3" s="100"/>
      <c r="B3" s="101"/>
      <c r="C3" s="102"/>
      <c r="D3" s="102"/>
      <c r="E3" s="102"/>
      <c r="G3" s="104"/>
      <c r="H3" s="105"/>
      <c r="I3" s="106"/>
      <c r="J3" s="107"/>
      <c r="K3" s="107"/>
      <c r="L3" s="107"/>
      <c r="M3" s="100"/>
      <c r="N3" s="108"/>
      <c r="O3" s="108"/>
      <c r="P3" s="109"/>
      <c r="Q3" s="109"/>
      <c r="R3" s="109"/>
      <c r="S3" s="109"/>
      <c r="T3" s="109"/>
      <c r="U3" s="109"/>
      <c r="V3" s="108"/>
      <c r="W3" s="109"/>
      <c r="X3" s="108"/>
      <c r="Y3" s="110"/>
      <c r="Z3" s="108"/>
      <c r="AA3" s="108"/>
      <c r="AB3" s="111"/>
      <c r="AC3" s="108"/>
      <c r="AD3" s="112"/>
      <c r="AE3" s="108"/>
      <c r="AF3" s="110"/>
      <c r="AG3" s="108"/>
      <c r="AH3" s="112"/>
      <c r="AI3" s="101"/>
      <c r="AJ3" s="108"/>
      <c r="AK3" s="108"/>
      <c r="AL3" s="112"/>
      <c r="AM3" s="113"/>
      <c r="AN3" s="110"/>
      <c r="AO3" s="108"/>
      <c r="AP3" s="111"/>
      <c r="AQ3" s="108"/>
      <c r="AR3" s="108"/>
      <c r="AS3" s="108"/>
      <c r="AT3" s="111"/>
      <c r="AU3" s="109"/>
      <c r="AV3" s="108"/>
      <c r="AW3" s="108"/>
      <c r="AX3" s="108"/>
      <c r="AY3" s="108"/>
      <c r="AZ3" s="114"/>
      <c r="BA3" s="113"/>
      <c r="BB3" s="115"/>
      <c r="BC3" s="111"/>
      <c r="BD3" s="111"/>
      <c r="BE3" s="111"/>
      <c r="BF3" s="111"/>
      <c r="BG3" s="111"/>
      <c r="BH3" s="116"/>
      <c r="BI3" s="117" t="s">
        <v>185</v>
      </c>
      <c r="BJ3" s="108"/>
      <c r="BK3" s="108"/>
      <c r="BL3" s="112"/>
      <c r="BM3" s="113"/>
      <c r="BN3" s="108"/>
      <c r="BO3" s="108"/>
      <c r="BP3" s="108"/>
      <c r="BQ3" s="113"/>
      <c r="BR3" s="108"/>
      <c r="BS3" s="108"/>
      <c r="BT3" s="108"/>
      <c r="BU3" s="113"/>
      <c r="BV3" s="108"/>
      <c r="BW3" s="108"/>
      <c r="BX3" s="108"/>
      <c r="BY3" s="113"/>
      <c r="BZ3" s="118"/>
      <c r="CA3" s="119"/>
      <c r="CB3" s="119"/>
      <c r="CC3" s="119"/>
      <c r="CD3" s="117" t="s">
        <v>185</v>
      </c>
      <c r="CE3" s="117" t="s">
        <v>185</v>
      </c>
      <c r="CF3" s="112"/>
      <c r="CG3" s="108"/>
      <c r="CH3" s="110"/>
      <c r="CI3" s="112"/>
      <c r="CJ3" s="108"/>
      <c r="CK3" s="110"/>
      <c r="CL3" s="119"/>
      <c r="CM3" s="119"/>
      <c r="CN3" s="120"/>
      <c r="CO3" s="113"/>
      <c r="CP3" s="110"/>
      <c r="CQ3" s="108"/>
      <c r="CR3" s="108"/>
      <c r="CS3" s="108"/>
      <c r="CT3" s="108"/>
      <c r="CU3" s="108"/>
      <c r="CV3" s="119"/>
      <c r="CW3" s="120"/>
      <c r="CX3" s="113"/>
      <c r="CY3" s="110"/>
      <c r="CZ3" s="108"/>
      <c r="DA3" s="108"/>
      <c r="DB3" s="112"/>
      <c r="DC3" s="108"/>
      <c r="DD3" s="121"/>
      <c r="DE3" s="108"/>
      <c r="DF3" s="108"/>
      <c r="DG3" s="121"/>
      <c r="DH3" s="108"/>
      <c r="DI3" s="108"/>
      <c r="DJ3" s="108"/>
      <c r="DK3" s="121"/>
      <c r="DL3" s="108"/>
      <c r="DM3" s="108"/>
      <c r="DN3" s="108"/>
    </row>
  </sheetData>
  <sheetProtection formatCells="0" insertRows="0" autoFilter="0"/>
  <autoFilter ref="A1:DN3" xr:uid="{00000000-0009-0000-0000-000001000000}"/>
  <dataConsolidate/>
  <dataValidations count="4">
    <dataValidation type="list" allowBlank="1" showInputMessage="1" showErrorMessage="1" sqref="AU3:AU1048576" xr:uid="{00000000-0002-0000-0100-000000000000}">
      <formula1>measuredef</formula1>
    </dataValidation>
    <dataValidation allowBlank="1" showErrorMessage="1" promptTitle="Titel" sqref="CH1:CI1 CK1:CN1 CY1:DB1 CP1:CW1 CD1:CF1 CA1" xr:uid="{00000000-0002-0000-0100-000001000000}"/>
    <dataValidation type="list" allowBlank="1" showInputMessage="1" showErrorMessage="1" sqref="BZ4:BZ1048576" xr:uid="{00000000-0002-0000-0100-000002000000}">
      <formula1>dpTypes</formula1>
    </dataValidation>
    <dataValidation type="list" allowBlank="1" showInputMessage="1" showErrorMessage="1" sqref="CC4:CC1048576" xr:uid="{00000000-0002-0000-0100-000003000000}">
      <formula1>IF(BZ4="","",INDEX(dpList,,MATCH(BZ4, dpTypes,)))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8" scale="19" fitToHeight="0" orientation="landscape" r:id="rId1"/>
  <headerFooter>
    <oddHeader>&amp;L&amp;"-,Fett"&amp;16&amp;F&amp;R&amp;G</oddHeader>
    <oddFooter>&amp;CSeite &amp;P von &amp;N&amp;R&amp;D</odd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rgb="FFFFFF00"/>
  </sheetPr>
  <dimension ref="A1:J53"/>
  <sheetViews>
    <sheetView workbookViewId="0">
      <selection activeCell="D8" sqref="D8"/>
    </sheetView>
  </sheetViews>
  <sheetFormatPr baseColWidth="10" defaultColWidth="9.140625" defaultRowHeight="15" x14ac:dyDescent="0.25"/>
  <cols>
    <col min="1" max="1" width="13.140625" style="74" bestFit="1" customWidth="1"/>
    <col min="2" max="3" width="9.140625" style="73"/>
    <col min="4" max="4" width="16.140625" style="73" bestFit="1" customWidth="1"/>
    <col min="5" max="5" width="9.140625" style="53"/>
    <col min="6" max="6" width="20.7109375" style="66" bestFit="1" customWidth="1"/>
    <col min="7" max="7" width="5.140625" style="66" customWidth="1"/>
    <col min="8" max="8" width="19.140625" style="81" customWidth="1"/>
    <col min="9" max="9" width="17.28515625" style="81" bestFit="1" customWidth="1"/>
    <col min="10" max="10" width="72.28515625" style="81" bestFit="1" customWidth="1"/>
    <col min="11" max="16384" width="9.140625" style="53"/>
  </cols>
  <sheetData>
    <row r="1" spans="1:10" ht="15.75" thickBot="1" x14ac:dyDescent="0.3">
      <c r="A1" s="50" t="s">
        <v>359</v>
      </c>
      <c r="B1" s="51" t="s">
        <v>31</v>
      </c>
      <c r="C1" s="51" t="s">
        <v>360</v>
      </c>
      <c r="D1" s="52" t="s">
        <v>361</v>
      </c>
      <c r="F1" s="54" t="s">
        <v>362</v>
      </c>
      <c r="G1" s="55"/>
      <c r="H1" s="56" t="s">
        <v>363</v>
      </c>
      <c r="I1" s="57" t="s">
        <v>364</v>
      </c>
      <c r="J1" s="58" t="s">
        <v>365</v>
      </c>
    </row>
    <row r="2" spans="1:10" x14ac:dyDescent="0.25">
      <c r="A2" s="59"/>
      <c r="B2" s="60"/>
      <c r="C2" s="61"/>
      <c r="D2" s="61"/>
      <c r="F2" s="62" t="s">
        <v>366</v>
      </c>
      <c r="G2" s="63"/>
      <c r="H2" s="62" t="s">
        <v>367</v>
      </c>
      <c r="I2" s="62" t="s">
        <v>367</v>
      </c>
      <c r="J2" s="62" t="s">
        <v>367</v>
      </c>
    </row>
    <row r="3" spans="1:10" x14ac:dyDescent="0.25">
      <c r="A3" s="64"/>
      <c r="B3" s="61"/>
      <c r="C3" s="61"/>
      <c r="D3" s="61"/>
      <c r="F3" s="65" t="s">
        <v>368</v>
      </c>
      <c r="H3" s="67" t="s">
        <v>369</v>
      </c>
      <c r="I3" s="67" t="s">
        <v>370</v>
      </c>
      <c r="J3" s="67" t="s">
        <v>371</v>
      </c>
    </row>
    <row r="4" spans="1:10" x14ac:dyDescent="0.25">
      <c r="A4" s="64"/>
      <c r="B4" s="61"/>
      <c r="C4" s="61"/>
      <c r="D4" s="61"/>
      <c r="F4" s="65" t="s">
        <v>372</v>
      </c>
      <c r="H4" s="67" t="s">
        <v>373</v>
      </c>
      <c r="I4" s="67"/>
      <c r="J4" s="67"/>
    </row>
    <row r="5" spans="1:10" x14ac:dyDescent="0.25">
      <c r="A5" s="64"/>
      <c r="B5" s="61"/>
      <c r="C5" s="61"/>
      <c r="D5" s="61"/>
      <c r="F5" s="65" t="s">
        <v>217</v>
      </c>
      <c r="H5" s="67" t="s">
        <v>374</v>
      </c>
      <c r="I5" s="67" t="s">
        <v>375</v>
      </c>
      <c r="J5" s="67" t="s">
        <v>376</v>
      </c>
    </row>
    <row r="6" spans="1:10" x14ac:dyDescent="0.25">
      <c r="A6" s="64"/>
      <c r="B6" s="61"/>
      <c r="C6" s="61"/>
      <c r="D6" s="61"/>
      <c r="F6" s="68" t="s">
        <v>366</v>
      </c>
      <c r="G6" s="69"/>
      <c r="H6" s="67" t="s">
        <v>377</v>
      </c>
      <c r="I6" s="67" t="s">
        <v>378</v>
      </c>
      <c r="J6" s="67" t="s">
        <v>379</v>
      </c>
    </row>
    <row r="7" spans="1:10" x14ac:dyDescent="0.25">
      <c r="A7" s="64"/>
      <c r="B7" s="61"/>
      <c r="C7" s="61"/>
      <c r="D7" s="61"/>
      <c r="F7" s="65" t="s">
        <v>380</v>
      </c>
      <c r="H7" s="70" t="s">
        <v>367</v>
      </c>
      <c r="I7" s="70" t="s">
        <v>367</v>
      </c>
      <c r="J7" s="70" t="s">
        <v>367</v>
      </c>
    </row>
    <row r="8" spans="1:10" x14ac:dyDescent="0.25">
      <c r="A8" s="71"/>
      <c r="B8" s="72"/>
      <c r="D8" s="71"/>
      <c r="F8" s="65" t="s">
        <v>345</v>
      </c>
      <c r="H8" s="67" t="s">
        <v>381</v>
      </c>
      <c r="I8" s="67" t="s">
        <v>382</v>
      </c>
      <c r="J8" s="67" t="s">
        <v>383</v>
      </c>
    </row>
    <row r="9" spans="1:10" x14ac:dyDescent="0.25">
      <c r="D9" s="74"/>
      <c r="F9" s="68" t="s">
        <v>366</v>
      </c>
      <c r="G9" s="69"/>
      <c r="H9" s="67" t="s">
        <v>384</v>
      </c>
      <c r="I9" s="67" t="s">
        <v>385</v>
      </c>
      <c r="J9" s="67" t="s">
        <v>386</v>
      </c>
    </row>
    <row r="10" spans="1:10" x14ac:dyDescent="0.25">
      <c r="D10" s="74"/>
      <c r="F10" s="75" t="s">
        <v>387</v>
      </c>
      <c r="G10" s="76"/>
      <c r="H10" s="67" t="s">
        <v>388</v>
      </c>
      <c r="I10" s="67" t="s">
        <v>389</v>
      </c>
      <c r="J10" s="67" t="s">
        <v>390</v>
      </c>
    </row>
    <row r="11" spans="1:10" x14ac:dyDescent="0.25">
      <c r="D11" s="74"/>
      <c r="F11" s="75" t="s">
        <v>391</v>
      </c>
      <c r="G11" s="76"/>
      <c r="H11" s="67" t="s">
        <v>392</v>
      </c>
      <c r="I11" s="67" t="s">
        <v>393</v>
      </c>
      <c r="J11" s="67" t="s">
        <v>394</v>
      </c>
    </row>
    <row r="12" spans="1:10" x14ac:dyDescent="0.25">
      <c r="D12" s="74"/>
      <c r="F12" s="75" t="s">
        <v>395</v>
      </c>
      <c r="G12" s="76"/>
      <c r="H12" s="67" t="s">
        <v>396</v>
      </c>
      <c r="I12" s="67" t="s">
        <v>397</v>
      </c>
      <c r="J12" s="67" t="s">
        <v>398</v>
      </c>
    </row>
    <row r="13" spans="1:10" x14ac:dyDescent="0.25">
      <c r="D13" s="74"/>
      <c r="F13" s="75" t="s">
        <v>399</v>
      </c>
      <c r="G13" s="76"/>
      <c r="H13" s="67" t="s">
        <v>400</v>
      </c>
      <c r="I13" s="67" t="s">
        <v>401</v>
      </c>
      <c r="J13" s="67" t="s">
        <v>402</v>
      </c>
    </row>
    <row r="14" spans="1:10" x14ac:dyDescent="0.25">
      <c r="F14" s="75" t="s">
        <v>403</v>
      </c>
      <c r="G14" s="76"/>
      <c r="H14" s="70" t="s">
        <v>367</v>
      </c>
      <c r="I14" s="70" t="s">
        <v>367</v>
      </c>
      <c r="J14" s="70" t="s">
        <v>367</v>
      </c>
    </row>
    <row r="15" spans="1:10" x14ac:dyDescent="0.25">
      <c r="F15" s="75" t="s">
        <v>404</v>
      </c>
      <c r="G15" s="76"/>
      <c r="H15" s="67" t="s">
        <v>405</v>
      </c>
      <c r="I15" s="67"/>
      <c r="J15" s="67"/>
    </row>
    <row r="16" spans="1:10" x14ac:dyDescent="0.25">
      <c r="F16" s="75" t="s">
        <v>406</v>
      </c>
      <c r="G16" s="76"/>
      <c r="H16" s="67" t="s">
        <v>407</v>
      </c>
      <c r="I16" s="67" t="s">
        <v>408</v>
      </c>
      <c r="J16" s="67" t="s">
        <v>409</v>
      </c>
    </row>
    <row r="17" spans="6:10" x14ac:dyDescent="0.25">
      <c r="F17" s="75" t="s">
        <v>410</v>
      </c>
      <c r="G17" s="76"/>
      <c r="H17" s="67" t="s">
        <v>411</v>
      </c>
      <c r="I17" s="67" t="s">
        <v>412</v>
      </c>
      <c r="J17" s="67" t="s">
        <v>413</v>
      </c>
    </row>
    <row r="18" spans="6:10" x14ac:dyDescent="0.25">
      <c r="F18" s="68" t="s">
        <v>366</v>
      </c>
      <c r="G18" s="69"/>
      <c r="H18" s="67" t="s">
        <v>414</v>
      </c>
      <c r="I18" s="67"/>
      <c r="J18" s="67"/>
    </row>
    <row r="19" spans="6:10" x14ac:dyDescent="0.25">
      <c r="F19" s="65" t="s">
        <v>225</v>
      </c>
      <c r="H19" s="70" t="s">
        <v>367</v>
      </c>
      <c r="I19" s="70" t="s">
        <v>367</v>
      </c>
      <c r="J19" s="70" t="s">
        <v>367</v>
      </c>
    </row>
    <row r="20" spans="6:10" x14ac:dyDescent="0.25">
      <c r="F20" s="65" t="s">
        <v>415</v>
      </c>
      <c r="H20" s="67" t="s">
        <v>416</v>
      </c>
      <c r="I20" s="67"/>
      <c r="J20" s="67"/>
    </row>
    <row r="21" spans="6:10" x14ac:dyDescent="0.25">
      <c r="F21" s="65" t="s">
        <v>417</v>
      </c>
      <c r="H21" s="67" t="s">
        <v>418</v>
      </c>
      <c r="I21" s="67"/>
      <c r="J21" s="67"/>
    </row>
    <row r="22" spans="6:10" x14ac:dyDescent="0.25">
      <c r="F22" s="68" t="s">
        <v>366</v>
      </c>
      <c r="G22" s="69"/>
      <c r="H22" s="67" t="s">
        <v>419</v>
      </c>
      <c r="I22" s="67" t="s">
        <v>420</v>
      </c>
      <c r="J22" s="67" t="s">
        <v>421</v>
      </c>
    </row>
    <row r="23" spans="6:10" x14ac:dyDescent="0.25">
      <c r="F23" s="65" t="s">
        <v>422</v>
      </c>
      <c r="H23" s="70" t="s">
        <v>367</v>
      </c>
      <c r="I23" s="70" t="s">
        <v>367</v>
      </c>
      <c r="J23" s="70" t="s">
        <v>367</v>
      </c>
    </row>
    <row r="24" spans="6:10" x14ac:dyDescent="0.25">
      <c r="F24" s="65" t="s">
        <v>423</v>
      </c>
      <c r="H24" s="67" t="s">
        <v>424</v>
      </c>
      <c r="I24" s="67" t="s">
        <v>425</v>
      </c>
      <c r="J24" s="67" t="s">
        <v>426</v>
      </c>
    </row>
    <row r="25" spans="6:10" x14ac:dyDescent="0.25">
      <c r="F25" s="68" t="s">
        <v>366</v>
      </c>
      <c r="G25" s="69"/>
      <c r="H25" s="67" t="s">
        <v>427</v>
      </c>
      <c r="I25" s="67" t="s">
        <v>428</v>
      </c>
      <c r="J25" s="67" t="s">
        <v>429</v>
      </c>
    </row>
    <row r="26" spans="6:10" ht="15" customHeight="1" x14ac:dyDescent="0.25">
      <c r="F26" s="77" t="s">
        <v>430</v>
      </c>
      <c r="G26" s="78"/>
      <c r="H26" s="67" t="s">
        <v>431</v>
      </c>
      <c r="I26" s="67"/>
      <c r="J26" s="67"/>
    </row>
    <row r="27" spans="6:10" x14ac:dyDescent="0.25">
      <c r="F27" s="77" t="s">
        <v>432</v>
      </c>
      <c r="G27" s="78"/>
      <c r="H27" s="67" t="s">
        <v>433</v>
      </c>
      <c r="I27" s="67"/>
      <c r="J27" s="67"/>
    </row>
    <row r="28" spans="6:10" x14ac:dyDescent="0.25">
      <c r="F28" s="77" t="s">
        <v>434</v>
      </c>
      <c r="G28" s="78"/>
      <c r="H28" s="70" t="s">
        <v>367</v>
      </c>
      <c r="I28" s="70" t="s">
        <v>367</v>
      </c>
      <c r="J28" s="70" t="s">
        <v>367</v>
      </c>
    </row>
    <row r="29" spans="6:10" x14ac:dyDescent="0.25">
      <c r="F29" s="77" t="s">
        <v>435</v>
      </c>
      <c r="G29" s="78"/>
      <c r="H29" s="67" t="s">
        <v>436</v>
      </c>
      <c r="I29" s="67"/>
      <c r="J29" s="67"/>
    </row>
    <row r="30" spans="6:10" x14ac:dyDescent="0.25">
      <c r="F30" s="68" t="s">
        <v>366</v>
      </c>
      <c r="G30" s="69"/>
      <c r="H30" s="67" t="s">
        <v>437</v>
      </c>
      <c r="I30" s="67" t="s">
        <v>438</v>
      </c>
      <c r="J30" s="67" t="s">
        <v>439</v>
      </c>
    </row>
    <row r="31" spans="6:10" x14ac:dyDescent="0.25">
      <c r="F31" s="77" t="s">
        <v>216</v>
      </c>
      <c r="G31" s="78"/>
      <c r="H31" s="67" t="s">
        <v>440</v>
      </c>
      <c r="I31" s="67" t="s">
        <v>441</v>
      </c>
      <c r="J31" s="67" t="s">
        <v>442</v>
      </c>
    </row>
    <row r="32" spans="6:10" x14ac:dyDescent="0.25">
      <c r="F32" s="77" t="s">
        <v>443</v>
      </c>
      <c r="G32" s="78"/>
      <c r="H32" s="70" t="s">
        <v>367</v>
      </c>
      <c r="I32" s="70" t="s">
        <v>367</v>
      </c>
      <c r="J32" s="70" t="s">
        <v>367</v>
      </c>
    </row>
    <row r="33" spans="6:10" x14ac:dyDescent="0.25">
      <c r="F33" s="77" t="s">
        <v>444</v>
      </c>
      <c r="G33" s="78"/>
      <c r="H33" s="67" t="s">
        <v>445</v>
      </c>
      <c r="I33" s="67"/>
      <c r="J33" s="67"/>
    </row>
    <row r="34" spans="6:10" x14ac:dyDescent="0.25">
      <c r="F34" s="77" t="s">
        <v>279</v>
      </c>
      <c r="G34" s="78"/>
      <c r="H34" s="67" t="s">
        <v>446</v>
      </c>
      <c r="I34" s="67" t="s">
        <v>447</v>
      </c>
      <c r="J34" s="67" t="s">
        <v>448</v>
      </c>
    </row>
    <row r="35" spans="6:10" x14ac:dyDescent="0.25">
      <c r="F35" s="65"/>
      <c r="H35" s="70" t="s">
        <v>367</v>
      </c>
      <c r="I35" s="70" t="s">
        <v>367</v>
      </c>
      <c r="J35" s="70" t="s">
        <v>367</v>
      </c>
    </row>
    <row r="36" spans="6:10" x14ac:dyDescent="0.25">
      <c r="F36" s="65"/>
      <c r="H36" s="67" t="s">
        <v>449</v>
      </c>
      <c r="I36" s="67" t="s">
        <v>450</v>
      </c>
      <c r="J36" s="67" t="s">
        <v>451</v>
      </c>
    </row>
    <row r="37" spans="6:10" x14ac:dyDescent="0.25">
      <c r="F37" s="65"/>
      <c r="H37" s="67" t="s">
        <v>452</v>
      </c>
      <c r="I37" s="67" t="s">
        <v>453</v>
      </c>
      <c r="J37" s="67" t="s">
        <v>454</v>
      </c>
    </row>
    <row r="38" spans="6:10" x14ac:dyDescent="0.25">
      <c r="F38" s="65"/>
      <c r="H38" s="67" t="s">
        <v>455</v>
      </c>
      <c r="I38" s="67" t="s">
        <v>456</v>
      </c>
      <c r="J38" s="67" t="s">
        <v>457</v>
      </c>
    </row>
    <row r="39" spans="6:10" x14ac:dyDescent="0.25">
      <c r="F39" s="65"/>
      <c r="H39" s="70" t="s">
        <v>367</v>
      </c>
      <c r="I39" s="70" t="s">
        <v>367</v>
      </c>
      <c r="J39" s="70" t="s">
        <v>367</v>
      </c>
    </row>
    <row r="40" spans="6:10" x14ac:dyDescent="0.25">
      <c r="F40" s="65"/>
      <c r="H40" s="67" t="s">
        <v>458</v>
      </c>
      <c r="I40" s="67" t="s">
        <v>459</v>
      </c>
      <c r="J40" s="67" t="s">
        <v>460</v>
      </c>
    </row>
    <row r="41" spans="6:10" x14ac:dyDescent="0.25">
      <c r="F41" s="65"/>
      <c r="H41" s="70" t="s">
        <v>367</v>
      </c>
      <c r="I41" s="70" t="s">
        <v>367</v>
      </c>
      <c r="J41" s="70" t="s">
        <v>367</v>
      </c>
    </row>
    <row r="42" spans="6:10" x14ac:dyDescent="0.25">
      <c r="H42" s="79"/>
      <c r="I42" s="79"/>
      <c r="J42" s="79"/>
    </row>
    <row r="43" spans="6:10" x14ac:dyDescent="0.25">
      <c r="H43" s="80"/>
      <c r="I43" s="80"/>
      <c r="J43" s="80"/>
    </row>
    <row r="44" spans="6:10" x14ac:dyDescent="0.25">
      <c r="H44" s="80"/>
      <c r="I44" s="80"/>
      <c r="J44" s="80"/>
    </row>
    <row r="45" spans="6:10" x14ac:dyDescent="0.25">
      <c r="H45" s="80"/>
      <c r="I45" s="80"/>
      <c r="J45" s="80"/>
    </row>
    <row r="46" spans="6:10" x14ac:dyDescent="0.25">
      <c r="H46" s="80"/>
      <c r="I46" s="80"/>
      <c r="J46" s="80"/>
    </row>
    <row r="47" spans="6:10" x14ac:dyDescent="0.25">
      <c r="H47" s="80"/>
      <c r="I47" s="80"/>
      <c r="J47" s="80"/>
    </row>
    <row r="48" spans="6:10" x14ac:dyDescent="0.25">
      <c r="H48" s="80"/>
      <c r="I48" s="80"/>
      <c r="J48" s="80"/>
    </row>
    <row r="49" spans="8:10" x14ac:dyDescent="0.25">
      <c r="H49" s="80"/>
      <c r="I49" s="80"/>
      <c r="J49" s="80"/>
    </row>
    <row r="50" spans="8:10" x14ac:dyDescent="0.25">
      <c r="H50" s="80"/>
      <c r="I50" s="80"/>
      <c r="J50" s="80"/>
    </row>
    <row r="51" spans="8:10" x14ac:dyDescent="0.25">
      <c r="H51" s="80"/>
      <c r="I51" s="80"/>
      <c r="J51" s="80"/>
    </row>
    <row r="52" spans="8:10" x14ac:dyDescent="0.25">
      <c r="H52" s="80"/>
      <c r="I52" s="80"/>
      <c r="J52" s="80"/>
    </row>
    <row r="53" spans="8:10" x14ac:dyDescent="0.25">
      <c r="H53" s="80"/>
      <c r="I53" s="80"/>
      <c r="J53" s="80"/>
    </row>
  </sheetData>
  <dataConsolidate/>
  <dataValidations count="1">
    <dataValidation type="list" allowBlank="1" showInputMessage="1" showErrorMessage="1" sqref="D2:D1048576" xr:uid="{00000000-0002-0000-0200-000000000000}">
      <formula1>IFDef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09"/>
  <sheetViews>
    <sheetView workbookViewId="0">
      <selection activeCell="H10" sqref="H10"/>
    </sheetView>
  </sheetViews>
  <sheetFormatPr baseColWidth="10" defaultColWidth="9.140625" defaultRowHeight="15" x14ac:dyDescent="0.25"/>
  <cols>
    <col min="1" max="1" width="35.28515625" style="65" bestFit="1" customWidth="1"/>
    <col min="2" max="2" width="13.140625" style="90" bestFit="1" customWidth="1"/>
    <col min="3" max="3" width="27.140625" style="91" bestFit="1" customWidth="1"/>
    <col min="4" max="4" width="12.140625" style="90" bestFit="1" customWidth="1"/>
    <col min="5" max="5" width="40.28515625" style="91" bestFit="1" customWidth="1"/>
    <col min="6" max="6" width="20" style="90" bestFit="1" customWidth="1"/>
    <col min="7" max="16384" width="9.140625" style="85"/>
  </cols>
  <sheetData>
    <row r="1" spans="1:6" ht="15.75" thickBot="1" x14ac:dyDescent="0.3">
      <c r="A1" s="82" t="s">
        <v>461</v>
      </c>
      <c r="B1" s="83" t="s">
        <v>462</v>
      </c>
      <c r="C1" s="84" t="s">
        <v>463</v>
      </c>
      <c r="D1" s="83" t="s">
        <v>464</v>
      </c>
      <c r="E1" s="84" t="s">
        <v>465</v>
      </c>
      <c r="F1" s="83" t="s">
        <v>466</v>
      </c>
    </row>
    <row r="2" spans="1:6" x14ac:dyDescent="0.25">
      <c r="A2" s="86" t="s">
        <v>467</v>
      </c>
      <c r="B2" s="87" t="s">
        <v>205</v>
      </c>
      <c r="C2" s="88" t="s">
        <v>468</v>
      </c>
      <c r="D2" s="87">
        <v>2</v>
      </c>
      <c r="E2" s="88" t="s">
        <v>469</v>
      </c>
      <c r="F2" s="89" t="s">
        <v>470</v>
      </c>
    </row>
    <row r="3" spans="1:6" x14ac:dyDescent="0.25">
      <c r="A3" s="65" t="s">
        <v>471</v>
      </c>
      <c r="B3" s="90" t="s">
        <v>472</v>
      </c>
      <c r="C3" s="91" t="s">
        <v>473</v>
      </c>
      <c r="D3" s="90">
        <v>4</v>
      </c>
      <c r="E3" s="91" t="s">
        <v>474</v>
      </c>
      <c r="F3" s="90" t="s">
        <v>475</v>
      </c>
    </row>
    <row r="4" spans="1:6" x14ac:dyDescent="0.25">
      <c r="A4" s="65" t="s">
        <v>476</v>
      </c>
      <c r="B4" s="90" t="s">
        <v>477</v>
      </c>
      <c r="C4" s="91" t="s">
        <v>478</v>
      </c>
      <c r="D4" s="90">
        <v>2</v>
      </c>
      <c r="E4" s="91" t="s">
        <v>479</v>
      </c>
      <c r="F4" s="90">
        <v>4</v>
      </c>
    </row>
    <row r="5" spans="1:6" x14ac:dyDescent="0.25">
      <c r="A5" s="65" t="s">
        <v>480</v>
      </c>
      <c r="B5" s="90" t="s">
        <v>481</v>
      </c>
      <c r="E5" s="91" t="s">
        <v>482</v>
      </c>
      <c r="F5" s="90">
        <v>14</v>
      </c>
    </row>
    <row r="6" spans="1:6" x14ac:dyDescent="0.25">
      <c r="A6" s="65" t="s">
        <v>95</v>
      </c>
      <c r="E6" s="91" t="s">
        <v>483</v>
      </c>
      <c r="F6" s="90" t="s">
        <v>484</v>
      </c>
    </row>
    <row r="7" spans="1:6" x14ac:dyDescent="0.25">
      <c r="A7" s="65" t="s">
        <v>96</v>
      </c>
      <c r="E7" s="65" t="s">
        <v>485</v>
      </c>
      <c r="F7" s="90">
        <v>20</v>
      </c>
    </row>
    <row r="8" spans="1:6" x14ac:dyDescent="0.25">
      <c r="A8" s="65" t="s">
        <v>97</v>
      </c>
      <c r="E8" s="65" t="s">
        <v>486</v>
      </c>
      <c r="F8" s="90">
        <v>15</v>
      </c>
    </row>
    <row r="9" spans="1:6" x14ac:dyDescent="0.25">
      <c r="A9" s="65" t="s">
        <v>98</v>
      </c>
      <c r="C9" s="91" t="s">
        <v>188</v>
      </c>
      <c r="E9" s="65" t="s">
        <v>487</v>
      </c>
      <c r="F9" s="90">
        <v>20</v>
      </c>
    </row>
    <row r="10" spans="1:6" x14ac:dyDescent="0.25">
      <c r="A10" s="65" t="s">
        <v>99</v>
      </c>
      <c r="E10" s="65" t="s">
        <v>488</v>
      </c>
      <c r="F10" s="90">
        <v>30</v>
      </c>
    </row>
    <row r="11" spans="1:6" x14ac:dyDescent="0.25">
      <c r="A11" s="65" t="s">
        <v>100</v>
      </c>
      <c r="E11" s="65" t="s">
        <v>489</v>
      </c>
      <c r="F11" s="90">
        <v>16</v>
      </c>
    </row>
    <row r="12" spans="1:6" x14ac:dyDescent="0.25">
      <c r="A12" s="65" t="s">
        <v>490</v>
      </c>
      <c r="E12" s="91" t="s">
        <v>491</v>
      </c>
      <c r="F12" s="90" t="s">
        <v>492</v>
      </c>
    </row>
    <row r="13" spans="1:6" x14ac:dyDescent="0.25">
      <c r="A13" s="65" t="s">
        <v>493</v>
      </c>
      <c r="E13" s="91" t="s">
        <v>494</v>
      </c>
      <c r="F13" s="90">
        <v>0</v>
      </c>
    </row>
    <row r="14" spans="1:6" x14ac:dyDescent="0.25">
      <c r="A14" s="65" t="s">
        <v>495</v>
      </c>
      <c r="E14" s="91" t="s">
        <v>496</v>
      </c>
      <c r="F14" s="90">
        <v>4095</v>
      </c>
    </row>
    <row r="15" spans="1:6" x14ac:dyDescent="0.25">
      <c r="A15" s="65" t="s">
        <v>497</v>
      </c>
      <c r="E15" s="91" t="s">
        <v>498</v>
      </c>
      <c r="F15" s="90">
        <v>60</v>
      </c>
    </row>
    <row r="16" spans="1:6" x14ac:dyDescent="0.25">
      <c r="A16" s="65" t="s">
        <v>105</v>
      </c>
      <c r="E16" s="91" t="s">
        <v>499</v>
      </c>
      <c r="F16" s="90">
        <v>0</v>
      </c>
    </row>
    <row r="17" spans="1:6" x14ac:dyDescent="0.25">
      <c r="A17" s="65" t="s">
        <v>500</v>
      </c>
      <c r="E17" s="91" t="s">
        <v>501</v>
      </c>
      <c r="F17" s="90">
        <v>0</v>
      </c>
    </row>
    <row r="18" spans="1:6" x14ac:dyDescent="0.25">
      <c r="A18" s="65" t="s">
        <v>502</v>
      </c>
      <c r="E18" s="91" t="s">
        <v>503</v>
      </c>
      <c r="F18" s="90">
        <v>0</v>
      </c>
    </row>
    <row r="19" spans="1:6" x14ac:dyDescent="0.25">
      <c r="A19" s="65" t="s">
        <v>504</v>
      </c>
      <c r="F19" s="92"/>
    </row>
    <row r="20" spans="1:6" x14ac:dyDescent="0.25">
      <c r="A20" s="65" t="s">
        <v>505</v>
      </c>
    </row>
    <row r="21" spans="1:6" x14ac:dyDescent="0.25">
      <c r="A21" s="65" t="s">
        <v>506</v>
      </c>
    </row>
    <row r="22" spans="1:6" x14ac:dyDescent="0.25">
      <c r="A22" s="65" t="s">
        <v>507</v>
      </c>
    </row>
    <row r="23" spans="1:6" x14ac:dyDescent="0.25">
      <c r="A23" s="65" t="s">
        <v>508</v>
      </c>
    </row>
    <row r="24" spans="1:6" x14ac:dyDescent="0.25">
      <c r="A24" s="65" t="s">
        <v>509</v>
      </c>
    </row>
    <row r="25" spans="1:6" x14ac:dyDescent="0.25">
      <c r="A25" s="65" t="s">
        <v>106</v>
      </c>
    </row>
    <row r="26" spans="1:6" x14ac:dyDescent="0.25">
      <c r="A26" s="65" t="s">
        <v>107</v>
      </c>
    </row>
    <row r="27" spans="1:6" x14ac:dyDescent="0.25">
      <c r="A27" s="65" t="s">
        <v>116</v>
      </c>
    </row>
    <row r="28" spans="1:6" x14ac:dyDescent="0.25">
      <c r="A28" s="65" t="s">
        <v>117</v>
      </c>
    </row>
    <row r="29" spans="1:6" x14ac:dyDescent="0.25">
      <c r="A29" s="65" t="s">
        <v>118</v>
      </c>
    </row>
    <row r="30" spans="1:6" x14ac:dyDescent="0.25">
      <c r="A30" s="65" t="s">
        <v>119</v>
      </c>
    </row>
    <row r="31" spans="1:6" x14ac:dyDescent="0.25">
      <c r="A31" s="65" t="s">
        <v>120</v>
      </c>
    </row>
    <row r="32" spans="1:6" x14ac:dyDescent="0.25">
      <c r="A32" s="65" t="s">
        <v>510</v>
      </c>
    </row>
    <row r="33" spans="1:1" x14ac:dyDescent="0.25">
      <c r="A33" s="65" t="s">
        <v>122</v>
      </c>
    </row>
    <row r="34" spans="1:1" x14ac:dyDescent="0.25">
      <c r="A34" s="65" t="s">
        <v>123</v>
      </c>
    </row>
    <row r="35" spans="1:1" x14ac:dyDescent="0.25">
      <c r="A35" s="65" t="s">
        <v>124</v>
      </c>
    </row>
    <row r="36" spans="1:1" x14ac:dyDescent="0.25">
      <c r="A36" s="65" t="s">
        <v>511</v>
      </c>
    </row>
    <row r="37" spans="1:1" x14ac:dyDescent="0.25">
      <c r="A37" s="65" t="s">
        <v>512</v>
      </c>
    </row>
    <row r="38" spans="1:1" x14ac:dyDescent="0.25">
      <c r="A38" s="65" t="s">
        <v>127</v>
      </c>
    </row>
    <row r="39" spans="1:1" x14ac:dyDescent="0.25">
      <c r="A39" s="65" t="s">
        <v>130</v>
      </c>
    </row>
    <row r="40" spans="1:1" x14ac:dyDescent="0.25">
      <c r="A40" s="65" t="s">
        <v>131</v>
      </c>
    </row>
    <row r="41" spans="1:1" x14ac:dyDescent="0.25">
      <c r="A41" s="65" t="s">
        <v>128</v>
      </c>
    </row>
    <row r="42" spans="1:1" x14ac:dyDescent="0.25">
      <c r="A42" s="65" t="s">
        <v>129</v>
      </c>
    </row>
    <row r="43" spans="1:1" x14ac:dyDescent="0.25">
      <c r="A43" s="65" t="s">
        <v>132</v>
      </c>
    </row>
    <row r="44" spans="1:1" x14ac:dyDescent="0.25">
      <c r="A44" s="65" t="s">
        <v>133</v>
      </c>
    </row>
    <row r="45" spans="1:1" x14ac:dyDescent="0.25">
      <c r="A45" s="65" t="s">
        <v>134</v>
      </c>
    </row>
    <row r="46" spans="1:1" x14ac:dyDescent="0.25">
      <c r="A46" s="65" t="s">
        <v>139</v>
      </c>
    </row>
    <row r="47" spans="1:1" x14ac:dyDescent="0.25">
      <c r="A47" s="65" t="s">
        <v>140</v>
      </c>
    </row>
    <row r="48" spans="1:1" x14ac:dyDescent="0.25">
      <c r="A48" s="65" t="s">
        <v>513</v>
      </c>
    </row>
    <row r="49" spans="1:1" x14ac:dyDescent="0.25">
      <c r="A49" s="65" t="s">
        <v>514</v>
      </c>
    </row>
    <row r="50" spans="1:1" x14ac:dyDescent="0.25">
      <c r="A50" s="65" t="s">
        <v>515</v>
      </c>
    </row>
    <row r="51" spans="1:1" x14ac:dyDescent="0.25">
      <c r="A51" s="65" t="s">
        <v>516</v>
      </c>
    </row>
    <row r="52" spans="1:1" x14ac:dyDescent="0.25">
      <c r="A52" s="65" t="s">
        <v>517</v>
      </c>
    </row>
    <row r="53" spans="1:1" x14ac:dyDescent="0.25">
      <c r="A53" s="65" t="s">
        <v>518</v>
      </c>
    </row>
    <row r="54" spans="1:1" x14ac:dyDescent="0.25">
      <c r="A54" s="65" t="s">
        <v>519</v>
      </c>
    </row>
    <row r="55" spans="1:1" x14ac:dyDescent="0.25">
      <c r="A55" s="65" t="s">
        <v>520</v>
      </c>
    </row>
    <row r="56" spans="1:1" x14ac:dyDescent="0.25">
      <c r="A56" s="65" t="s">
        <v>521</v>
      </c>
    </row>
    <row r="57" spans="1:1" x14ac:dyDescent="0.25">
      <c r="A57" s="65" t="s">
        <v>522</v>
      </c>
    </row>
    <row r="58" spans="1:1" x14ac:dyDescent="0.25">
      <c r="A58" s="65" t="s">
        <v>523</v>
      </c>
    </row>
    <row r="59" spans="1:1" x14ac:dyDescent="0.25">
      <c r="A59" s="65" t="s">
        <v>524</v>
      </c>
    </row>
    <row r="60" spans="1:1" x14ac:dyDescent="0.25">
      <c r="A60" s="65" t="s">
        <v>525</v>
      </c>
    </row>
    <row r="61" spans="1:1" x14ac:dyDescent="0.25">
      <c r="A61" s="65" t="s">
        <v>526</v>
      </c>
    </row>
    <row r="62" spans="1:1" x14ac:dyDescent="0.25">
      <c r="A62" s="65" t="s">
        <v>527</v>
      </c>
    </row>
    <row r="63" spans="1:1" x14ac:dyDescent="0.25">
      <c r="A63" s="65" t="s">
        <v>141</v>
      </c>
    </row>
    <row r="64" spans="1:1" x14ac:dyDescent="0.25">
      <c r="A64" s="65" t="s">
        <v>142</v>
      </c>
    </row>
    <row r="65" spans="1:1" x14ac:dyDescent="0.25">
      <c r="A65" s="65" t="s">
        <v>143</v>
      </c>
    </row>
    <row r="66" spans="1:1" x14ac:dyDescent="0.25">
      <c r="A66" s="65" t="s">
        <v>144</v>
      </c>
    </row>
    <row r="67" spans="1:1" x14ac:dyDescent="0.25">
      <c r="A67" s="65" t="s">
        <v>145</v>
      </c>
    </row>
    <row r="68" spans="1:1" x14ac:dyDescent="0.25">
      <c r="A68" s="65" t="s">
        <v>146</v>
      </c>
    </row>
    <row r="69" spans="1:1" x14ac:dyDescent="0.25">
      <c r="A69" s="65" t="s">
        <v>528</v>
      </c>
    </row>
    <row r="70" spans="1:1" x14ac:dyDescent="0.25">
      <c r="A70" s="65" t="s">
        <v>152</v>
      </c>
    </row>
    <row r="71" spans="1:1" x14ac:dyDescent="0.25">
      <c r="A71" s="65" t="s">
        <v>153</v>
      </c>
    </row>
    <row r="72" spans="1:1" x14ac:dyDescent="0.25">
      <c r="A72" s="65" t="s">
        <v>154</v>
      </c>
    </row>
    <row r="73" spans="1:1" x14ac:dyDescent="0.25">
      <c r="A73" s="65" t="s">
        <v>529</v>
      </c>
    </row>
    <row r="74" spans="1:1" x14ac:dyDescent="0.25">
      <c r="A74" s="65" t="s">
        <v>530</v>
      </c>
    </row>
    <row r="75" spans="1:1" x14ac:dyDescent="0.25">
      <c r="A75" s="65" t="s">
        <v>148</v>
      </c>
    </row>
    <row r="76" spans="1:1" x14ac:dyDescent="0.25">
      <c r="A76" s="65" t="s">
        <v>149</v>
      </c>
    </row>
    <row r="77" spans="1:1" x14ac:dyDescent="0.25">
      <c r="A77" s="65" t="s">
        <v>150</v>
      </c>
    </row>
    <row r="78" spans="1:1" x14ac:dyDescent="0.25">
      <c r="A78" s="65" t="s">
        <v>531</v>
      </c>
    </row>
    <row r="79" spans="1:1" x14ac:dyDescent="0.25">
      <c r="A79" s="65" t="s">
        <v>159</v>
      </c>
    </row>
    <row r="80" spans="1:1" x14ac:dyDescent="0.25">
      <c r="A80" s="65" t="s">
        <v>532</v>
      </c>
    </row>
    <row r="81" spans="1:1" x14ac:dyDescent="0.25">
      <c r="A81" s="65" t="s">
        <v>533</v>
      </c>
    </row>
    <row r="82" spans="1:1" x14ac:dyDescent="0.25">
      <c r="A82" s="65" t="s">
        <v>534</v>
      </c>
    </row>
    <row r="83" spans="1:1" x14ac:dyDescent="0.25">
      <c r="A83" s="65" t="s">
        <v>535</v>
      </c>
    </row>
    <row r="84" spans="1:1" x14ac:dyDescent="0.25">
      <c r="A84" s="65" t="s">
        <v>536</v>
      </c>
    </row>
    <row r="85" spans="1:1" x14ac:dyDescent="0.25">
      <c r="A85" s="65" t="s">
        <v>537</v>
      </c>
    </row>
    <row r="86" spans="1:1" x14ac:dyDescent="0.25">
      <c r="A86" s="65" t="s">
        <v>538</v>
      </c>
    </row>
    <row r="87" spans="1:1" x14ac:dyDescent="0.25">
      <c r="A87" s="65" t="s">
        <v>539</v>
      </c>
    </row>
    <row r="88" spans="1:1" x14ac:dyDescent="0.25">
      <c r="A88" s="65" t="s">
        <v>540</v>
      </c>
    </row>
    <row r="89" spans="1:1" x14ac:dyDescent="0.25">
      <c r="A89" s="65" t="s">
        <v>541</v>
      </c>
    </row>
    <row r="90" spans="1:1" x14ac:dyDescent="0.25">
      <c r="A90" s="65" t="s">
        <v>542</v>
      </c>
    </row>
    <row r="91" spans="1:1" x14ac:dyDescent="0.25">
      <c r="A91" s="65" t="s">
        <v>543</v>
      </c>
    </row>
    <row r="92" spans="1:1" x14ac:dyDescent="0.25">
      <c r="A92" s="65" t="s">
        <v>544</v>
      </c>
    </row>
    <row r="93" spans="1:1" x14ac:dyDescent="0.25">
      <c r="A93" s="65" t="s">
        <v>545</v>
      </c>
    </row>
    <row r="94" spans="1:1" x14ac:dyDescent="0.25">
      <c r="A94" s="65" t="s">
        <v>546</v>
      </c>
    </row>
    <row r="95" spans="1:1" x14ac:dyDescent="0.25">
      <c r="A95" s="65" t="s">
        <v>547</v>
      </c>
    </row>
    <row r="96" spans="1:1" x14ac:dyDescent="0.25">
      <c r="A96" s="65" t="s">
        <v>548</v>
      </c>
    </row>
    <row r="97" spans="1:1" x14ac:dyDescent="0.25">
      <c r="A97" s="65" t="s">
        <v>549</v>
      </c>
    </row>
    <row r="98" spans="1:1" x14ac:dyDescent="0.25">
      <c r="A98" s="65" t="s">
        <v>550</v>
      </c>
    </row>
    <row r="99" spans="1:1" x14ac:dyDescent="0.25">
      <c r="A99" s="65" t="s">
        <v>551</v>
      </c>
    </row>
    <row r="100" spans="1:1" x14ac:dyDescent="0.25">
      <c r="A100" s="65" t="s">
        <v>552</v>
      </c>
    </row>
    <row r="101" spans="1:1" x14ac:dyDescent="0.25">
      <c r="A101" s="65" t="s">
        <v>553</v>
      </c>
    </row>
    <row r="102" spans="1:1" x14ac:dyDescent="0.25">
      <c r="A102" s="65" t="s">
        <v>554</v>
      </c>
    </row>
    <row r="103" spans="1:1" x14ac:dyDescent="0.25">
      <c r="A103" s="65" t="s">
        <v>555</v>
      </c>
    </row>
    <row r="104" spans="1:1" x14ac:dyDescent="0.25">
      <c r="A104" s="65" t="s">
        <v>556</v>
      </c>
    </row>
    <row r="105" spans="1:1" x14ac:dyDescent="0.25">
      <c r="A105" s="65" t="s">
        <v>557</v>
      </c>
    </row>
    <row r="106" spans="1:1" x14ac:dyDescent="0.25">
      <c r="A106" s="65" t="s">
        <v>558</v>
      </c>
    </row>
    <row r="107" spans="1:1" x14ac:dyDescent="0.25">
      <c r="A107" s="65" t="s">
        <v>559</v>
      </c>
    </row>
    <row r="108" spans="1:1" x14ac:dyDescent="0.25">
      <c r="A108" s="65" t="s">
        <v>560</v>
      </c>
    </row>
    <row r="109" spans="1:1" x14ac:dyDescent="0.25">
      <c r="A109" s="65" t="s">
        <v>561</v>
      </c>
    </row>
  </sheetData>
  <dataConsolidate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AE75"/>
  <sheetViews>
    <sheetView workbookViewId="0">
      <pane ySplit="1" topLeftCell="A2" activePane="bottomLeft" state="frozen"/>
      <selection activeCell="H10" sqref="H10"/>
      <selection pane="bottomLeft" activeCell="D36" sqref="D36"/>
    </sheetView>
  </sheetViews>
  <sheetFormatPr baseColWidth="10" defaultRowHeight="15" x14ac:dyDescent="0.25"/>
  <cols>
    <col min="1" max="1" width="28.5703125" style="53" bestFit="1" customWidth="1"/>
    <col min="2" max="2" width="42.5703125" style="85" bestFit="1" customWidth="1"/>
    <col min="3" max="3" width="28.5703125" style="85" bestFit="1" customWidth="1"/>
    <col min="4" max="5" width="29.140625" style="85" bestFit="1" customWidth="1"/>
    <col min="6" max="6" width="33.28515625" style="53" bestFit="1" customWidth="1"/>
    <col min="7" max="7" width="30.42578125" style="98" bestFit="1" customWidth="1"/>
    <col min="8" max="10" width="28.5703125" style="85" bestFit="1" customWidth="1"/>
    <col min="11" max="11" width="28.5703125" style="53" bestFit="1" customWidth="1"/>
    <col min="12" max="12" width="31" style="53" bestFit="1" customWidth="1"/>
    <col min="13" max="15" width="28.5703125" style="85" bestFit="1" customWidth="1"/>
    <col min="16" max="16" width="28.85546875" style="85" bestFit="1" customWidth="1"/>
    <col min="17" max="17" width="28.5703125" style="85" bestFit="1" customWidth="1"/>
    <col min="18" max="18" width="35" style="85" bestFit="1" customWidth="1"/>
    <col min="19" max="21" width="28.5703125" style="85" bestFit="1" customWidth="1"/>
    <col min="22" max="22" width="31.7109375" style="85" bestFit="1" customWidth="1"/>
    <col min="23" max="23" width="39" style="85" bestFit="1" customWidth="1"/>
    <col min="24" max="25" width="28.5703125" style="85" bestFit="1" customWidth="1"/>
    <col min="26" max="26" width="35.140625" style="85" bestFit="1" customWidth="1"/>
    <col min="27" max="27" width="28.5703125" style="85" bestFit="1" customWidth="1"/>
    <col min="28" max="28" width="30" style="85" bestFit="1" customWidth="1"/>
    <col min="29" max="31" width="28.5703125" style="85" bestFit="1" customWidth="1"/>
    <col min="32" max="16384" width="11.42578125" style="85"/>
  </cols>
  <sheetData>
    <row r="1" spans="1:31" s="94" customFormat="1" x14ac:dyDescent="0.25">
      <c r="A1" s="93" t="s">
        <v>206</v>
      </c>
      <c r="B1" s="94" t="s">
        <v>562</v>
      </c>
      <c r="C1" s="94" t="s">
        <v>563</v>
      </c>
      <c r="D1" s="94" t="s">
        <v>358</v>
      </c>
      <c r="E1" s="94" t="s">
        <v>356</v>
      </c>
      <c r="F1" s="93" t="s">
        <v>270</v>
      </c>
      <c r="G1" s="95" t="s">
        <v>564</v>
      </c>
      <c r="H1" s="94" t="s">
        <v>245</v>
      </c>
      <c r="I1" s="94" t="s">
        <v>315</v>
      </c>
      <c r="J1" s="94" t="s">
        <v>330</v>
      </c>
      <c r="K1" s="93" t="s">
        <v>287</v>
      </c>
      <c r="L1" s="93" t="s">
        <v>324</v>
      </c>
      <c r="M1" s="94" t="s">
        <v>218</v>
      </c>
      <c r="N1" s="94" t="s">
        <v>339</v>
      </c>
      <c r="O1" s="94" t="s">
        <v>335</v>
      </c>
      <c r="P1" s="94" t="s">
        <v>320</v>
      </c>
      <c r="Q1" s="94" t="s">
        <v>565</v>
      </c>
      <c r="R1" s="94" t="s">
        <v>566</v>
      </c>
      <c r="S1" s="94" t="s">
        <v>567</v>
      </c>
      <c r="T1" s="94" t="s">
        <v>209</v>
      </c>
      <c r="U1" s="94" t="s">
        <v>214</v>
      </c>
      <c r="V1" s="94" t="s">
        <v>568</v>
      </c>
      <c r="W1" s="94" t="s">
        <v>208</v>
      </c>
      <c r="X1" s="94" t="s">
        <v>569</v>
      </c>
      <c r="Y1" s="94" t="s">
        <v>235</v>
      </c>
      <c r="Z1" s="94" t="s">
        <v>237</v>
      </c>
      <c r="AA1" s="94" t="s">
        <v>186</v>
      </c>
      <c r="AB1" s="94" t="s">
        <v>570</v>
      </c>
      <c r="AC1" s="94" t="s">
        <v>346</v>
      </c>
      <c r="AD1" s="94" t="s">
        <v>353</v>
      </c>
      <c r="AE1" s="94" t="s">
        <v>242</v>
      </c>
    </row>
    <row r="2" spans="1:31" s="97" customFormat="1" x14ac:dyDescent="0.25">
      <c r="A2" s="96" t="s">
        <v>571</v>
      </c>
      <c r="B2" s="96" t="s">
        <v>571</v>
      </c>
      <c r="C2" s="96" t="s">
        <v>571</v>
      </c>
      <c r="D2" s="96" t="s">
        <v>571</v>
      </c>
      <c r="E2" s="96" t="s">
        <v>571</v>
      </c>
      <c r="F2" s="96" t="s">
        <v>571</v>
      </c>
      <c r="G2" s="96" t="s">
        <v>571</v>
      </c>
      <c r="H2" s="96" t="s">
        <v>571</v>
      </c>
      <c r="I2" s="96" t="s">
        <v>571</v>
      </c>
      <c r="J2" s="96" t="s">
        <v>571</v>
      </c>
      <c r="K2" s="96" t="s">
        <v>571</v>
      </c>
      <c r="L2" s="96" t="s">
        <v>571</v>
      </c>
      <c r="M2" s="96" t="s">
        <v>571</v>
      </c>
      <c r="N2" s="96" t="s">
        <v>571</v>
      </c>
      <c r="O2" s="96" t="s">
        <v>571</v>
      </c>
      <c r="P2" s="96" t="s">
        <v>571</v>
      </c>
      <c r="Q2" s="96" t="s">
        <v>571</v>
      </c>
      <c r="R2" s="96" t="s">
        <v>571</v>
      </c>
      <c r="S2" s="96" t="s">
        <v>571</v>
      </c>
      <c r="T2" s="96" t="s">
        <v>571</v>
      </c>
      <c r="U2" s="96" t="s">
        <v>571</v>
      </c>
      <c r="V2" s="96" t="s">
        <v>571</v>
      </c>
      <c r="W2" s="97" t="s">
        <v>571</v>
      </c>
      <c r="X2" s="97" t="s">
        <v>571</v>
      </c>
      <c r="Y2" s="97" t="s">
        <v>571</v>
      </c>
      <c r="Z2" s="97" t="s">
        <v>571</v>
      </c>
      <c r="AA2" s="97" t="s">
        <v>571</v>
      </c>
      <c r="AB2" s="97" t="s">
        <v>571</v>
      </c>
      <c r="AC2" s="97" t="s">
        <v>571</v>
      </c>
      <c r="AD2" s="97" t="s">
        <v>571</v>
      </c>
      <c r="AE2" s="97" t="s">
        <v>571</v>
      </c>
    </row>
    <row r="3" spans="1:31" x14ac:dyDescent="0.25">
      <c r="A3" s="53" t="s">
        <v>207</v>
      </c>
      <c r="B3" s="53" t="s">
        <v>572</v>
      </c>
      <c r="C3" s="53" t="s">
        <v>278</v>
      </c>
      <c r="D3" s="53" t="s">
        <v>189</v>
      </c>
      <c r="E3" s="53" t="s">
        <v>357</v>
      </c>
      <c r="F3" s="53" t="s">
        <v>238</v>
      </c>
      <c r="G3" s="53" t="s">
        <v>573</v>
      </c>
      <c r="H3" s="53" t="s">
        <v>238</v>
      </c>
      <c r="I3" s="53" t="s">
        <v>238</v>
      </c>
      <c r="J3" s="53" t="s">
        <v>333</v>
      </c>
      <c r="K3" s="53" t="s">
        <v>238</v>
      </c>
      <c r="L3" s="53" t="s">
        <v>238</v>
      </c>
      <c r="M3" s="53" t="s">
        <v>224</v>
      </c>
      <c r="N3" s="53" t="s">
        <v>338</v>
      </c>
      <c r="O3" s="85" t="s">
        <v>338</v>
      </c>
      <c r="P3" s="85" t="s">
        <v>238</v>
      </c>
      <c r="Q3" s="85" t="s">
        <v>574</v>
      </c>
      <c r="R3" s="53" t="s">
        <v>574</v>
      </c>
      <c r="S3" s="85" t="s">
        <v>238</v>
      </c>
      <c r="T3" s="85" t="s">
        <v>207</v>
      </c>
      <c r="U3" s="85" t="s">
        <v>575</v>
      </c>
      <c r="V3" s="85" t="s">
        <v>576</v>
      </c>
      <c r="W3" s="85" t="s">
        <v>577</v>
      </c>
      <c r="X3" s="85" t="s">
        <v>220</v>
      </c>
      <c r="Y3" s="85" t="s">
        <v>236</v>
      </c>
      <c r="Z3" s="85" t="s">
        <v>238</v>
      </c>
      <c r="AA3" s="85" t="s">
        <v>578</v>
      </c>
      <c r="AB3" s="85" t="s">
        <v>579</v>
      </c>
      <c r="AC3" s="85" t="s">
        <v>347</v>
      </c>
      <c r="AD3" s="85" t="s">
        <v>354</v>
      </c>
      <c r="AE3" s="85" t="s">
        <v>224</v>
      </c>
    </row>
    <row r="4" spans="1:31" x14ac:dyDescent="0.25">
      <c r="A4" s="53" t="s">
        <v>580</v>
      </c>
      <c r="B4" s="53" t="s">
        <v>581</v>
      </c>
      <c r="C4" s="53" t="s">
        <v>582</v>
      </c>
      <c r="D4" s="53" t="s">
        <v>190</v>
      </c>
      <c r="E4" s="53" t="s">
        <v>583</v>
      </c>
      <c r="F4" s="53" t="s">
        <v>276</v>
      </c>
      <c r="G4" s="53" t="s">
        <v>584</v>
      </c>
      <c r="H4" s="53" t="s">
        <v>259</v>
      </c>
      <c r="I4" s="53" t="s">
        <v>198</v>
      </c>
      <c r="J4" s="85" t="s">
        <v>332</v>
      </c>
      <c r="K4" s="53" t="s">
        <v>248</v>
      </c>
      <c r="L4" s="85" t="s">
        <v>248</v>
      </c>
      <c r="M4" s="85" t="s">
        <v>220</v>
      </c>
      <c r="N4" s="85" t="s">
        <v>332</v>
      </c>
      <c r="O4" s="85" t="s">
        <v>278</v>
      </c>
      <c r="P4" s="85" t="s">
        <v>259</v>
      </c>
      <c r="Q4" s="85" t="s">
        <v>238</v>
      </c>
      <c r="R4" s="85" t="s">
        <v>238</v>
      </c>
      <c r="S4" s="85" t="s">
        <v>248</v>
      </c>
      <c r="T4" s="85" t="s">
        <v>585</v>
      </c>
      <c r="U4" s="85" t="s">
        <v>586</v>
      </c>
      <c r="V4" s="85" t="s">
        <v>587</v>
      </c>
      <c r="W4" s="85" t="s">
        <v>588</v>
      </c>
      <c r="X4" s="85" t="s">
        <v>589</v>
      </c>
      <c r="Y4" s="85" t="s">
        <v>585</v>
      </c>
      <c r="Z4" s="85" t="s">
        <v>198</v>
      </c>
      <c r="AA4" s="85" t="s">
        <v>590</v>
      </c>
      <c r="AB4" s="85" t="s">
        <v>591</v>
      </c>
      <c r="AC4" s="85" t="s">
        <v>348</v>
      </c>
      <c r="AD4" s="85" t="s">
        <v>348</v>
      </c>
      <c r="AE4" s="85" t="s">
        <v>220</v>
      </c>
    </row>
    <row r="5" spans="1:31" x14ac:dyDescent="0.25">
      <c r="A5" s="53" t="s">
        <v>585</v>
      </c>
      <c r="B5" s="85" t="s">
        <v>592</v>
      </c>
      <c r="C5" s="53" t="s">
        <v>593</v>
      </c>
      <c r="D5" s="85" t="s">
        <v>191</v>
      </c>
      <c r="E5" s="53" t="s">
        <v>594</v>
      </c>
      <c r="F5" s="53" t="s">
        <v>285</v>
      </c>
      <c r="G5" s="53" t="s">
        <v>595</v>
      </c>
      <c r="H5" s="53" t="s">
        <v>248</v>
      </c>
      <c r="I5" s="53" t="s">
        <v>278</v>
      </c>
      <c r="J5" s="85" t="s">
        <v>278</v>
      </c>
      <c r="K5" s="53" t="s">
        <v>596</v>
      </c>
      <c r="L5" s="85" t="s">
        <v>258</v>
      </c>
      <c r="M5" s="85" t="s">
        <v>228</v>
      </c>
      <c r="N5" s="85" t="s">
        <v>278</v>
      </c>
      <c r="O5" s="85" t="s">
        <v>585</v>
      </c>
      <c r="P5" s="85" t="s">
        <v>597</v>
      </c>
      <c r="Q5" s="85" t="s">
        <v>224</v>
      </c>
      <c r="R5" s="85" t="s">
        <v>224</v>
      </c>
      <c r="S5" s="85" t="s">
        <v>596</v>
      </c>
      <c r="T5" s="85" t="s">
        <v>598</v>
      </c>
      <c r="U5" s="85" t="s">
        <v>215</v>
      </c>
      <c r="V5" s="85" t="s">
        <v>599</v>
      </c>
      <c r="W5" s="85" t="s">
        <v>600</v>
      </c>
      <c r="X5" s="85" t="s">
        <v>601</v>
      </c>
      <c r="Y5" s="85" t="s">
        <v>598</v>
      </c>
      <c r="Z5" s="85" t="s">
        <v>597</v>
      </c>
      <c r="AA5" s="85" t="s">
        <v>198</v>
      </c>
      <c r="AB5" s="85" t="s">
        <v>602</v>
      </c>
      <c r="AC5" s="85" t="s">
        <v>349</v>
      </c>
      <c r="AD5" s="85" t="s">
        <v>349</v>
      </c>
      <c r="AE5" s="85" t="s">
        <v>243</v>
      </c>
    </row>
    <row r="6" spans="1:31" x14ac:dyDescent="0.25">
      <c r="A6" s="53" t="s">
        <v>598</v>
      </c>
      <c r="B6" s="53" t="s">
        <v>603</v>
      </c>
      <c r="C6" s="53" t="s">
        <v>604</v>
      </c>
      <c r="D6" s="53" t="s">
        <v>192</v>
      </c>
      <c r="E6" s="53" t="s">
        <v>605</v>
      </c>
      <c r="F6" s="53" t="s">
        <v>606</v>
      </c>
      <c r="G6" s="53" t="s">
        <v>199</v>
      </c>
      <c r="H6" s="53" t="s">
        <v>258</v>
      </c>
      <c r="I6" s="53" t="s">
        <v>269</v>
      </c>
      <c r="J6" s="85" t="s">
        <v>334</v>
      </c>
      <c r="K6" s="53" t="s">
        <v>288</v>
      </c>
      <c r="L6" s="53" t="s">
        <v>260</v>
      </c>
      <c r="M6" s="85" t="s">
        <v>226</v>
      </c>
      <c r="N6" s="85" t="s">
        <v>344</v>
      </c>
      <c r="O6" s="85" t="s">
        <v>337</v>
      </c>
      <c r="P6" s="85" t="s">
        <v>607</v>
      </c>
      <c r="Q6" s="85" t="s">
        <v>608</v>
      </c>
      <c r="R6" s="85" t="s">
        <v>608</v>
      </c>
      <c r="S6" s="85" t="s">
        <v>198</v>
      </c>
      <c r="U6" s="85" t="s">
        <v>609</v>
      </c>
      <c r="V6" s="85" t="s">
        <v>610</v>
      </c>
      <c r="W6" s="85" t="s">
        <v>213</v>
      </c>
      <c r="X6" s="85" t="s">
        <v>611</v>
      </c>
      <c r="Z6" s="85" t="s">
        <v>607</v>
      </c>
      <c r="AA6" s="85" t="s">
        <v>199</v>
      </c>
      <c r="AB6" s="85" t="s">
        <v>612</v>
      </c>
      <c r="AC6" s="85" t="s">
        <v>350</v>
      </c>
      <c r="AD6" s="85" t="s">
        <v>350</v>
      </c>
      <c r="AE6" s="85" t="s">
        <v>199</v>
      </c>
    </row>
    <row r="7" spans="1:31" x14ac:dyDescent="0.25">
      <c r="A7" s="53" t="s">
        <v>613</v>
      </c>
      <c r="B7" s="53" t="s">
        <v>614</v>
      </c>
      <c r="C7" s="53" t="s">
        <v>585</v>
      </c>
      <c r="D7" s="53" t="s">
        <v>254</v>
      </c>
      <c r="E7" s="53" t="s">
        <v>615</v>
      </c>
      <c r="F7" s="53" t="s">
        <v>616</v>
      </c>
      <c r="G7" s="53" t="s">
        <v>200</v>
      </c>
      <c r="H7" s="53" t="s">
        <v>260</v>
      </c>
      <c r="I7" s="53" t="s">
        <v>317</v>
      </c>
      <c r="J7" s="85" t="s">
        <v>316</v>
      </c>
      <c r="K7" s="53" t="s">
        <v>260</v>
      </c>
      <c r="L7" s="53" t="s">
        <v>198</v>
      </c>
      <c r="M7" s="85" t="s">
        <v>227</v>
      </c>
      <c r="N7" s="85" t="s">
        <v>341</v>
      </c>
      <c r="O7" s="85" t="s">
        <v>336</v>
      </c>
      <c r="P7" s="85" t="s">
        <v>617</v>
      </c>
      <c r="Q7" s="85" t="s">
        <v>618</v>
      </c>
      <c r="R7" s="85" t="s">
        <v>618</v>
      </c>
      <c r="S7" s="85" t="s">
        <v>199</v>
      </c>
      <c r="U7" s="85" t="s">
        <v>619</v>
      </c>
      <c r="V7" s="85" t="s">
        <v>620</v>
      </c>
      <c r="W7" s="85" t="s">
        <v>210</v>
      </c>
      <c r="X7" s="85" t="s">
        <v>621</v>
      </c>
      <c r="Z7" s="85" t="s">
        <v>617</v>
      </c>
      <c r="AA7" s="85" t="s">
        <v>200</v>
      </c>
      <c r="AB7" s="85" t="s">
        <v>622</v>
      </c>
      <c r="AC7" s="85" t="s">
        <v>351</v>
      </c>
      <c r="AD7" s="85" t="s">
        <v>351</v>
      </c>
      <c r="AE7" s="85" t="s">
        <v>200</v>
      </c>
    </row>
    <row r="8" spans="1:31" x14ac:dyDescent="0.25">
      <c r="B8" s="53" t="s">
        <v>585</v>
      </c>
      <c r="C8" s="53" t="s">
        <v>598</v>
      </c>
      <c r="D8" s="53" t="s">
        <v>261</v>
      </c>
      <c r="E8" s="53" t="s">
        <v>623</v>
      </c>
      <c r="F8" s="53" t="s">
        <v>277</v>
      </c>
      <c r="G8" s="53" t="s">
        <v>201</v>
      </c>
      <c r="H8" s="53" t="s">
        <v>624</v>
      </c>
      <c r="I8" s="53" t="s">
        <v>316</v>
      </c>
      <c r="J8" s="85" t="s">
        <v>331</v>
      </c>
      <c r="K8" s="53" t="s">
        <v>304</v>
      </c>
      <c r="L8" s="53" t="s">
        <v>199</v>
      </c>
      <c r="M8" s="85" t="s">
        <v>199</v>
      </c>
      <c r="N8" s="85" t="s">
        <v>342</v>
      </c>
      <c r="P8" s="85" t="s">
        <v>625</v>
      </c>
      <c r="Q8" s="85" t="s">
        <v>626</v>
      </c>
      <c r="R8" s="85" t="s">
        <v>626</v>
      </c>
      <c r="S8" s="85" t="s">
        <v>200</v>
      </c>
      <c r="U8" s="85" t="s">
        <v>627</v>
      </c>
      <c r="V8" s="85" t="s">
        <v>628</v>
      </c>
      <c r="W8" s="85" t="s">
        <v>211</v>
      </c>
      <c r="X8" s="85" t="s">
        <v>629</v>
      </c>
      <c r="Z8" s="85" t="s">
        <v>625</v>
      </c>
      <c r="AA8" s="85" t="s">
        <v>201</v>
      </c>
      <c r="AB8" s="85" t="s">
        <v>189</v>
      </c>
      <c r="AC8" s="85" t="s">
        <v>352</v>
      </c>
      <c r="AD8" s="85" t="s">
        <v>352</v>
      </c>
      <c r="AE8" s="85" t="s">
        <v>201</v>
      </c>
    </row>
    <row r="9" spans="1:31" x14ac:dyDescent="0.25">
      <c r="B9" s="53" t="s">
        <v>630</v>
      </c>
      <c r="C9" s="53"/>
      <c r="D9" s="53" t="s">
        <v>262</v>
      </c>
      <c r="E9" s="53"/>
      <c r="F9" s="53" t="s">
        <v>286</v>
      </c>
      <c r="G9" s="53" t="s">
        <v>204</v>
      </c>
      <c r="H9" s="53" t="s">
        <v>198</v>
      </c>
      <c r="I9" s="53" t="s">
        <v>585</v>
      </c>
      <c r="J9" s="85" t="s">
        <v>585</v>
      </c>
      <c r="K9" s="53" t="s">
        <v>306</v>
      </c>
      <c r="L9" s="53" t="s">
        <v>200</v>
      </c>
      <c r="M9" s="85" t="s">
        <v>200</v>
      </c>
      <c r="N9" s="85" t="s">
        <v>585</v>
      </c>
      <c r="P9" s="85" t="s">
        <v>631</v>
      </c>
      <c r="Q9" s="85" t="s">
        <v>632</v>
      </c>
      <c r="R9" s="85" t="s">
        <v>632</v>
      </c>
      <c r="S9" s="85" t="s">
        <v>201</v>
      </c>
      <c r="U9" s="85" t="s">
        <v>585</v>
      </c>
      <c r="V9" s="85" t="s">
        <v>633</v>
      </c>
      <c r="W9" s="85" t="s">
        <v>212</v>
      </c>
      <c r="X9" s="85" t="s">
        <v>634</v>
      </c>
      <c r="Z9" s="85" t="s">
        <v>631</v>
      </c>
      <c r="AA9" s="85" t="s">
        <v>204</v>
      </c>
      <c r="AB9" s="85" t="s">
        <v>190</v>
      </c>
      <c r="AC9" s="85" t="s">
        <v>635</v>
      </c>
      <c r="AD9" s="85" t="s">
        <v>635</v>
      </c>
      <c r="AE9" s="85" t="s">
        <v>204</v>
      </c>
    </row>
    <row r="10" spans="1:31" x14ac:dyDescent="0.25">
      <c r="B10" s="53" t="s">
        <v>636</v>
      </c>
      <c r="C10" s="53"/>
      <c r="D10" s="53" t="s">
        <v>637</v>
      </c>
      <c r="E10" s="53"/>
      <c r="F10" s="53" t="s">
        <v>638</v>
      </c>
      <c r="G10" s="98" t="s">
        <v>203</v>
      </c>
      <c r="H10" s="53" t="s">
        <v>199</v>
      </c>
      <c r="I10" s="53" t="s">
        <v>598</v>
      </c>
      <c r="J10" s="85" t="s">
        <v>598</v>
      </c>
      <c r="K10" s="53" t="s">
        <v>198</v>
      </c>
      <c r="L10" s="53" t="s">
        <v>201</v>
      </c>
      <c r="M10" s="85" t="s">
        <v>201</v>
      </c>
      <c r="N10" s="85" t="s">
        <v>343</v>
      </c>
      <c r="P10" s="85" t="s">
        <v>323</v>
      </c>
      <c r="Q10" s="85" t="s">
        <v>639</v>
      </c>
      <c r="R10" s="85" t="s">
        <v>639</v>
      </c>
      <c r="S10" s="85" t="s">
        <v>204</v>
      </c>
      <c r="V10" s="85" t="s">
        <v>269</v>
      </c>
      <c r="W10" s="85" t="s">
        <v>580</v>
      </c>
      <c r="X10" s="85" t="s">
        <v>640</v>
      </c>
      <c r="Z10" s="85" t="s">
        <v>323</v>
      </c>
      <c r="AA10" s="85" t="s">
        <v>203</v>
      </c>
      <c r="AB10" s="85" t="s">
        <v>641</v>
      </c>
      <c r="AE10" s="85" t="s">
        <v>203</v>
      </c>
    </row>
    <row r="11" spans="1:31" x14ac:dyDescent="0.25">
      <c r="B11" s="53" t="s">
        <v>598</v>
      </c>
      <c r="C11" s="53"/>
      <c r="D11" s="53" t="s">
        <v>357</v>
      </c>
      <c r="E11" s="53"/>
      <c r="F11" s="53" t="s">
        <v>642</v>
      </c>
      <c r="G11" s="98" t="s">
        <v>189</v>
      </c>
      <c r="H11" s="53" t="s">
        <v>200</v>
      </c>
      <c r="I11" s="53" t="s">
        <v>613</v>
      </c>
      <c r="K11" s="53" t="s">
        <v>199</v>
      </c>
      <c r="L11" s="53" t="s">
        <v>204</v>
      </c>
      <c r="M11" s="85" t="s">
        <v>204</v>
      </c>
      <c r="N11" s="85" t="s">
        <v>340</v>
      </c>
      <c r="P11" s="85" t="s">
        <v>321</v>
      </c>
      <c r="Q11" s="85" t="s">
        <v>643</v>
      </c>
      <c r="R11" s="85" t="s">
        <v>644</v>
      </c>
      <c r="S11" s="85" t="s">
        <v>203</v>
      </c>
      <c r="V11" s="85" t="s">
        <v>189</v>
      </c>
      <c r="W11" s="85" t="s">
        <v>645</v>
      </c>
      <c r="X11" s="85" t="s">
        <v>189</v>
      </c>
      <c r="Z11" s="85" t="s">
        <v>240</v>
      </c>
      <c r="AA11" s="85" t="s">
        <v>202</v>
      </c>
      <c r="AB11" s="85" t="s">
        <v>580</v>
      </c>
      <c r="AE11" s="85" t="s">
        <v>646</v>
      </c>
    </row>
    <row r="12" spans="1:31" x14ac:dyDescent="0.25">
      <c r="B12" s="53" t="s">
        <v>613</v>
      </c>
      <c r="D12" s="85" t="s">
        <v>585</v>
      </c>
      <c r="E12" s="53"/>
      <c r="F12" s="53" t="s">
        <v>647</v>
      </c>
      <c r="G12" s="98" t="s">
        <v>648</v>
      </c>
      <c r="H12" s="53" t="s">
        <v>201</v>
      </c>
      <c r="I12" s="53"/>
      <c r="K12" s="53" t="s">
        <v>200</v>
      </c>
      <c r="L12" s="53" t="s">
        <v>203</v>
      </c>
      <c r="M12" s="85" t="s">
        <v>203</v>
      </c>
      <c r="P12" s="85" t="s">
        <v>649</v>
      </c>
      <c r="Q12" s="85" t="s">
        <v>650</v>
      </c>
      <c r="R12" s="85" t="s">
        <v>651</v>
      </c>
      <c r="S12" s="85" t="s">
        <v>278</v>
      </c>
      <c r="V12" s="85" t="s">
        <v>648</v>
      </c>
      <c r="W12" s="85" t="s">
        <v>652</v>
      </c>
      <c r="X12" s="85" t="s">
        <v>653</v>
      </c>
      <c r="Z12" s="85" t="s">
        <v>241</v>
      </c>
      <c r="AA12" s="85" t="s">
        <v>318</v>
      </c>
      <c r="AB12" s="85" t="s">
        <v>654</v>
      </c>
      <c r="AE12" s="85" t="s">
        <v>655</v>
      </c>
    </row>
    <row r="13" spans="1:31" x14ac:dyDescent="0.25">
      <c r="B13" s="53"/>
      <c r="D13" s="85" t="s">
        <v>598</v>
      </c>
      <c r="E13" s="53"/>
      <c r="F13" s="53" t="s">
        <v>656</v>
      </c>
      <c r="G13" s="98" t="s">
        <v>657</v>
      </c>
      <c r="H13" s="53" t="s">
        <v>204</v>
      </c>
      <c r="I13" s="53"/>
      <c r="K13" s="53" t="s">
        <v>201</v>
      </c>
      <c r="L13" s="53" t="s">
        <v>202</v>
      </c>
      <c r="M13" s="85" t="s">
        <v>230</v>
      </c>
      <c r="P13" s="85" t="s">
        <v>322</v>
      </c>
      <c r="Q13" s="85" t="s">
        <v>658</v>
      </c>
      <c r="R13" s="85" t="s">
        <v>248</v>
      </c>
      <c r="S13" s="85" t="s">
        <v>269</v>
      </c>
      <c r="V13" s="85" t="s">
        <v>190</v>
      </c>
      <c r="W13" s="85" t="s">
        <v>659</v>
      </c>
      <c r="X13" s="85" t="s">
        <v>190</v>
      </c>
      <c r="Z13" s="85" t="s">
        <v>239</v>
      </c>
      <c r="AA13" s="85" t="s">
        <v>660</v>
      </c>
      <c r="AB13" s="85" t="s">
        <v>661</v>
      </c>
      <c r="AE13" s="85" t="s">
        <v>662</v>
      </c>
    </row>
    <row r="14" spans="1:31" x14ac:dyDescent="0.25">
      <c r="B14" s="53"/>
      <c r="D14" s="85" t="s">
        <v>613</v>
      </c>
      <c r="E14" s="53"/>
      <c r="F14" s="53" t="s">
        <v>663</v>
      </c>
      <c r="G14" s="98" t="s">
        <v>664</v>
      </c>
      <c r="H14" s="53" t="s">
        <v>203</v>
      </c>
      <c r="I14" s="53"/>
      <c r="K14" s="53" t="s">
        <v>204</v>
      </c>
      <c r="L14" s="53" t="s">
        <v>318</v>
      </c>
      <c r="M14" s="85" t="s">
        <v>665</v>
      </c>
      <c r="P14" s="85" t="s">
        <v>666</v>
      </c>
      <c r="Q14" s="85" t="s">
        <v>248</v>
      </c>
      <c r="R14" s="85" t="s">
        <v>596</v>
      </c>
      <c r="S14" s="85" t="s">
        <v>189</v>
      </c>
      <c r="V14" s="85" t="s">
        <v>191</v>
      </c>
      <c r="W14" s="85" t="s">
        <v>667</v>
      </c>
      <c r="X14" s="85" t="s">
        <v>668</v>
      </c>
      <c r="Z14" s="85" t="s">
        <v>585</v>
      </c>
      <c r="AA14" s="85" t="s">
        <v>669</v>
      </c>
      <c r="AB14" s="85" t="s">
        <v>670</v>
      </c>
      <c r="AE14" s="85" t="s">
        <v>671</v>
      </c>
    </row>
    <row r="15" spans="1:31" x14ac:dyDescent="0.25">
      <c r="B15" s="53"/>
      <c r="D15" s="85" t="s">
        <v>583</v>
      </c>
      <c r="E15" s="53"/>
      <c r="F15" s="53" t="s">
        <v>672</v>
      </c>
      <c r="G15" s="98" t="s">
        <v>673</v>
      </c>
      <c r="H15" s="53" t="s">
        <v>202</v>
      </c>
      <c r="I15" s="53"/>
      <c r="K15" s="53" t="s">
        <v>203</v>
      </c>
      <c r="L15" s="53" t="s">
        <v>263</v>
      </c>
      <c r="M15" s="85" t="s">
        <v>223</v>
      </c>
      <c r="P15" s="85" t="s">
        <v>585</v>
      </c>
      <c r="Q15" s="85" t="s">
        <v>258</v>
      </c>
      <c r="R15" s="85" t="s">
        <v>260</v>
      </c>
      <c r="S15" s="85" t="s">
        <v>190</v>
      </c>
      <c r="V15" s="85" t="s">
        <v>192</v>
      </c>
      <c r="W15" s="85" t="s">
        <v>674</v>
      </c>
      <c r="X15" s="85" t="s">
        <v>191</v>
      </c>
      <c r="Z15" s="85" t="s">
        <v>598</v>
      </c>
      <c r="AA15" s="85" t="s">
        <v>269</v>
      </c>
      <c r="AB15" s="85" t="s">
        <v>675</v>
      </c>
      <c r="AE15" s="85" t="s">
        <v>676</v>
      </c>
    </row>
    <row r="16" spans="1:31" x14ac:dyDescent="0.25">
      <c r="B16" s="53"/>
      <c r="D16" s="85" t="s">
        <v>594</v>
      </c>
      <c r="E16" s="53"/>
      <c r="F16" s="53" t="s">
        <v>278</v>
      </c>
      <c r="G16" s="98" t="s">
        <v>677</v>
      </c>
      <c r="H16" s="53" t="s">
        <v>318</v>
      </c>
      <c r="I16" s="53"/>
      <c r="K16" s="53" t="s">
        <v>202</v>
      </c>
      <c r="L16" s="53" t="s">
        <v>256</v>
      </c>
      <c r="M16" s="85" t="s">
        <v>278</v>
      </c>
      <c r="P16" s="85" t="s">
        <v>598</v>
      </c>
      <c r="Q16" s="85" t="s">
        <v>199</v>
      </c>
      <c r="R16" s="85" t="s">
        <v>678</v>
      </c>
      <c r="S16" s="85" t="s">
        <v>191</v>
      </c>
      <c r="V16" s="85" t="s">
        <v>193</v>
      </c>
      <c r="W16" s="85" t="s">
        <v>679</v>
      </c>
      <c r="X16" s="85" t="s">
        <v>680</v>
      </c>
      <c r="AA16" s="85" t="s">
        <v>189</v>
      </c>
      <c r="AB16" s="85" t="s">
        <v>681</v>
      </c>
      <c r="AE16" s="85" t="s">
        <v>244</v>
      </c>
    </row>
    <row r="17" spans="2:31" x14ac:dyDescent="0.25">
      <c r="B17" s="53"/>
      <c r="D17" s="85" t="s">
        <v>605</v>
      </c>
      <c r="E17" s="53"/>
      <c r="F17" s="53" t="s">
        <v>189</v>
      </c>
      <c r="G17" s="98" t="s">
        <v>682</v>
      </c>
      <c r="H17" s="53" t="s">
        <v>263</v>
      </c>
      <c r="I17" s="53"/>
      <c r="K17" s="53" t="s">
        <v>318</v>
      </c>
      <c r="L17" s="53" t="s">
        <v>278</v>
      </c>
      <c r="M17" s="85" t="s">
        <v>229</v>
      </c>
      <c r="P17" s="85" t="s">
        <v>613</v>
      </c>
      <c r="Q17" s="85" t="s">
        <v>200</v>
      </c>
      <c r="R17" s="85" t="s">
        <v>199</v>
      </c>
      <c r="S17" s="85" t="s">
        <v>192</v>
      </c>
      <c r="V17" s="85" t="s">
        <v>194</v>
      </c>
      <c r="W17" s="85" t="s">
        <v>683</v>
      </c>
      <c r="X17" s="85" t="s">
        <v>192</v>
      </c>
      <c r="AA17" s="85" t="s">
        <v>648</v>
      </c>
      <c r="AB17" s="85" t="s">
        <v>684</v>
      </c>
      <c r="AE17" s="85" t="s">
        <v>685</v>
      </c>
    </row>
    <row r="18" spans="2:31" x14ac:dyDescent="0.25">
      <c r="B18" s="53"/>
      <c r="D18" s="85" t="s">
        <v>615</v>
      </c>
      <c r="E18" s="53"/>
      <c r="F18" s="53" t="s">
        <v>190</v>
      </c>
      <c r="G18" s="98" t="s">
        <v>686</v>
      </c>
      <c r="H18" s="53" t="s">
        <v>256</v>
      </c>
      <c r="I18" s="53"/>
      <c r="K18" s="53" t="s">
        <v>263</v>
      </c>
      <c r="L18" s="53" t="s">
        <v>269</v>
      </c>
      <c r="M18" s="85" t="s">
        <v>685</v>
      </c>
      <c r="Q18" s="85" t="s">
        <v>201</v>
      </c>
      <c r="R18" s="85" t="s">
        <v>200</v>
      </c>
      <c r="S18" s="85" t="s">
        <v>193</v>
      </c>
      <c r="V18" s="85" t="s">
        <v>195</v>
      </c>
      <c r="W18" s="85" t="s">
        <v>687</v>
      </c>
      <c r="X18" s="85" t="s">
        <v>688</v>
      </c>
      <c r="AA18" s="85" t="s">
        <v>657</v>
      </c>
      <c r="AB18" s="85" t="s">
        <v>585</v>
      </c>
      <c r="AE18" s="85" t="s">
        <v>689</v>
      </c>
    </row>
    <row r="19" spans="2:31" x14ac:dyDescent="0.25">
      <c r="B19" s="53"/>
      <c r="D19" s="85" t="s">
        <v>623</v>
      </c>
      <c r="E19" s="53"/>
      <c r="F19" s="53" t="s">
        <v>191</v>
      </c>
      <c r="G19" s="98" t="s">
        <v>690</v>
      </c>
      <c r="H19" s="53" t="s">
        <v>265</v>
      </c>
      <c r="I19" s="53"/>
      <c r="K19" s="53" t="s">
        <v>256</v>
      </c>
      <c r="L19" s="53" t="s">
        <v>189</v>
      </c>
      <c r="M19" s="85" t="s">
        <v>689</v>
      </c>
      <c r="Q19" s="85" t="s">
        <v>204</v>
      </c>
      <c r="R19" s="85" t="s">
        <v>201</v>
      </c>
      <c r="S19" s="85" t="s">
        <v>194</v>
      </c>
      <c r="V19" s="85" t="s">
        <v>197</v>
      </c>
      <c r="W19" s="85" t="s">
        <v>585</v>
      </c>
      <c r="X19" s="85" t="s">
        <v>193</v>
      </c>
      <c r="AA19" s="85" t="s">
        <v>190</v>
      </c>
      <c r="AB19" s="85" t="s">
        <v>598</v>
      </c>
      <c r="AE19" s="85" t="s">
        <v>691</v>
      </c>
    </row>
    <row r="20" spans="2:31" x14ac:dyDescent="0.25">
      <c r="B20" s="53"/>
      <c r="E20" s="53"/>
      <c r="F20" s="53" t="s">
        <v>192</v>
      </c>
      <c r="G20" s="98" t="s">
        <v>692</v>
      </c>
      <c r="H20" s="53" t="s">
        <v>319</v>
      </c>
      <c r="I20" s="53"/>
      <c r="K20" s="53" t="s">
        <v>305</v>
      </c>
      <c r="L20" s="53" t="s">
        <v>190</v>
      </c>
      <c r="M20" s="85" t="s">
        <v>691</v>
      </c>
      <c r="Q20" s="85" t="s">
        <v>203</v>
      </c>
      <c r="R20" s="85" t="s">
        <v>204</v>
      </c>
      <c r="S20" s="85" t="s">
        <v>195</v>
      </c>
      <c r="V20" s="85" t="s">
        <v>196</v>
      </c>
      <c r="W20" s="85" t="s">
        <v>355</v>
      </c>
      <c r="X20" s="85" t="s">
        <v>693</v>
      </c>
      <c r="AA20" s="85" t="s">
        <v>191</v>
      </c>
      <c r="AB20" s="85" t="s">
        <v>613</v>
      </c>
      <c r="AE20" s="85" t="s">
        <v>694</v>
      </c>
    </row>
    <row r="21" spans="2:31" x14ac:dyDescent="0.25">
      <c r="B21" s="53"/>
      <c r="E21" s="53"/>
      <c r="F21" s="53" t="s">
        <v>695</v>
      </c>
      <c r="G21" s="98" t="s">
        <v>696</v>
      </c>
      <c r="H21" s="53" t="s">
        <v>269</v>
      </c>
      <c r="I21" s="53"/>
      <c r="K21" s="53" t="s">
        <v>303</v>
      </c>
      <c r="L21" s="53" t="s">
        <v>191</v>
      </c>
      <c r="M21" s="85" t="s">
        <v>694</v>
      </c>
      <c r="Q21" s="85" t="s">
        <v>202</v>
      </c>
      <c r="R21" s="85" t="s">
        <v>203</v>
      </c>
      <c r="S21" s="85" t="s">
        <v>580</v>
      </c>
      <c r="V21" s="85" t="s">
        <v>580</v>
      </c>
      <c r="W21" s="85" t="s">
        <v>598</v>
      </c>
      <c r="X21" s="85" t="s">
        <v>194</v>
      </c>
      <c r="AA21" s="85" t="s">
        <v>192</v>
      </c>
      <c r="AE21" s="85" t="s">
        <v>697</v>
      </c>
    </row>
    <row r="22" spans="2:31" x14ac:dyDescent="0.25">
      <c r="B22" s="53"/>
      <c r="E22" s="53"/>
      <c r="F22" s="53" t="s">
        <v>698</v>
      </c>
      <c r="G22" s="98" t="s">
        <v>190</v>
      </c>
      <c r="H22" s="53" t="s">
        <v>189</v>
      </c>
      <c r="I22" s="53"/>
      <c r="K22" s="53" t="s">
        <v>291</v>
      </c>
      <c r="L22" s="53" t="s">
        <v>192</v>
      </c>
      <c r="M22" s="85" t="s">
        <v>697</v>
      </c>
      <c r="Q22" s="85" t="s">
        <v>318</v>
      </c>
      <c r="R22" s="85" t="s">
        <v>202</v>
      </c>
      <c r="S22" s="85" t="s">
        <v>699</v>
      </c>
      <c r="V22" s="85" t="s">
        <v>700</v>
      </c>
      <c r="W22" s="85" t="s">
        <v>613</v>
      </c>
      <c r="X22" s="85" t="s">
        <v>701</v>
      </c>
      <c r="AA22" s="85" t="s">
        <v>193</v>
      </c>
      <c r="AE22" s="85" t="s">
        <v>219</v>
      </c>
    </row>
    <row r="23" spans="2:31" x14ac:dyDescent="0.25">
      <c r="B23" s="53"/>
      <c r="E23" s="53"/>
      <c r="F23" s="53" t="s">
        <v>702</v>
      </c>
      <c r="G23" s="98" t="s">
        <v>703</v>
      </c>
      <c r="H23" s="53" t="s">
        <v>190</v>
      </c>
      <c r="I23" s="53"/>
      <c r="K23" s="53" t="s">
        <v>278</v>
      </c>
      <c r="L23" s="53" t="s">
        <v>193</v>
      </c>
      <c r="M23" s="85" t="s">
        <v>219</v>
      </c>
      <c r="Q23" s="85" t="s">
        <v>263</v>
      </c>
      <c r="R23" s="85" t="s">
        <v>318</v>
      </c>
      <c r="S23" s="85" t="s">
        <v>704</v>
      </c>
      <c r="V23" s="85" t="s">
        <v>705</v>
      </c>
      <c r="W23" s="85" t="s">
        <v>706</v>
      </c>
      <c r="X23" s="85" t="s">
        <v>195</v>
      </c>
      <c r="AA23" s="85" t="s">
        <v>194</v>
      </c>
    </row>
    <row r="24" spans="2:31" x14ac:dyDescent="0.25">
      <c r="B24" s="53"/>
      <c r="E24" s="53"/>
      <c r="F24" s="53" t="s">
        <v>707</v>
      </c>
      <c r="G24" s="98" t="s">
        <v>191</v>
      </c>
      <c r="H24" s="53" t="s">
        <v>191</v>
      </c>
      <c r="I24" s="53"/>
      <c r="K24" s="53" t="s">
        <v>309</v>
      </c>
      <c r="L24" s="53" t="s">
        <v>194</v>
      </c>
      <c r="M24" s="85" t="s">
        <v>580</v>
      </c>
      <c r="Q24" s="85" t="s">
        <v>256</v>
      </c>
      <c r="R24" s="85" t="s">
        <v>708</v>
      </c>
      <c r="S24" s="85" t="s">
        <v>709</v>
      </c>
      <c r="V24" s="85" t="s">
        <v>710</v>
      </c>
      <c r="X24" s="85" t="s">
        <v>711</v>
      </c>
      <c r="AA24" s="85" t="s">
        <v>195</v>
      </c>
    </row>
    <row r="25" spans="2:31" x14ac:dyDescent="0.25">
      <c r="B25" s="53"/>
      <c r="E25" s="53"/>
      <c r="F25" s="53" t="s">
        <v>254</v>
      </c>
      <c r="G25" s="98" t="s">
        <v>192</v>
      </c>
      <c r="H25" s="53" t="s">
        <v>192</v>
      </c>
      <c r="I25" s="53"/>
      <c r="K25" s="53" t="s">
        <v>310</v>
      </c>
      <c r="L25" s="53" t="s">
        <v>195</v>
      </c>
      <c r="M25" s="85" t="s">
        <v>222</v>
      </c>
      <c r="Q25" s="85" t="s">
        <v>265</v>
      </c>
      <c r="R25" s="85" t="s">
        <v>712</v>
      </c>
      <c r="S25" s="85" t="s">
        <v>257</v>
      </c>
      <c r="V25" s="85" t="s">
        <v>713</v>
      </c>
      <c r="X25" s="85" t="s">
        <v>197</v>
      </c>
      <c r="AA25" s="85" t="s">
        <v>197</v>
      </c>
    </row>
    <row r="26" spans="2:31" x14ac:dyDescent="0.25">
      <c r="B26" s="53"/>
      <c r="E26" s="53"/>
      <c r="F26" s="53" t="s">
        <v>261</v>
      </c>
      <c r="G26" s="98" t="s">
        <v>193</v>
      </c>
      <c r="H26" s="53" t="s">
        <v>193</v>
      </c>
      <c r="I26" s="53"/>
      <c r="K26" s="53" t="s">
        <v>714</v>
      </c>
      <c r="L26" s="53" t="s">
        <v>197</v>
      </c>
      <c r="M26" s="85" t="s">
        <v>221</v>
      </c>
      <c r="Q26" s="85" t="s">
        <v>715</v>
      </c>
      <c r="R26" s="85" t="s">
        <v>265</v>
      </c>
      <c r="S26" s="85" t="s">
        <v>716</v>
      </c>
      <c r="V26" s="85" t="s">
        <v>717</v>
      </c>
      <c r="X26" s="85" t="s">
        <v>580</v>
      </c>
      <c r="AA26" s="85" t="s">
        <v>196</v>
      </c>
    </row>
    <row r="27" spans="2:31" x14ac:dyDescent="0.25">
      <c r="B27" s="53"/>
      <c r="E27" s="53"/>
      <c r="F27" s="53" t="s">
        <v>262</v>
      </c>
      <c r="G27" s="98" t="s">
        <v>194</v>
      </c>
      <c r="H27" s="53" t="s">
        <v>194</v>
      </c>
      <c r="I27" s="53"/>
      <c r="K27" s="53" t="s">
        <v>718</v>
      </c>
      <c r="L27" s="53" t="s">
        <v>196</v>
      </c>
      <c r="M27" s="85" t="s">
        <v>719</v>
      </c>
      <c r="Q27" s="85" t="s">
        <v>720</v>
      </c>
      <c r="R27" s="85" t="s">
        <v>721</v>
      </c>
      <c r="S27" s="85" t="s">
        <v>722</v>
      </c>
      <c r="V27" s="85" t="s">
        <v>723</v>
      </c>
      <c r="X27" s="85" t="s">
        <v>724</v>
      </c>
      <c r="AA27" s="85" t="s">
        <v>725</v>
      </c>
    </row>
    <row r="28" spans="2:31" x14ac:dyDescent="0.25">
      <c r="B28" s="53"/>
      <c r="E28" s="53"/>
      <c r="F28" s="53" t="s">
        <v>637</v>
      </c>
      <c r="G28" s="98" t="s">
        <v>195</v>
      </c>
      <c r="H28" s="53" t="s">
        <v>195</v>
      </c>
      <c r="I28" s="53"/>
      <c r="K28" s="53" t="s">
        <v>311</v>
      </c>
      <c r="L28" s="53" t="s">
        <v>255</v>
      </c>
      <c r="M28" s="85" t="s">
        <v>726</v>
      </c>
      <c r="Q28" s="85" t="s">
        <v>727</v>
      </c>
      <c r="R28" s="85" t="s">
        <v>728</v>
      </c>
      <c r="S28" s="85" t="s">
        <v>729</v>
      </c>
      <c r="V28" s="85" t="s">
        <v>730</v>
      </c>
      <c r="X28" s="85" t="s">
        <v>585</v>
      </c>
      <c r="AA28" s="85" t="s">
        <v>731</v>
      </c>
    </row>
    <row r="29" spans="2:31" x14ac:dyDescent="0.25">
      <c r="B29" s="53"/>
      <c r="E29" s="53"/>
      <c r="F29" s="53" t="s">
        <v>274</v>
      </c>
      <c r="G29" s="98" t="s">
        <v>197</v>
      </c>
      <c r="H29" s="53" t="s">
        <v>197</v>
      </c>
      <c r="I29" s="53"/>
      <c r="K29" s="53" t="s">
        <v>307</v>
      </c>
      <c r="L29" s="53" t="s">
        <v>254</v>
      </c>
      <c r="M29" s="85" t="s">
        <v>232</v>
      </c>
      <c r="Q29" s="85" t="s">
        <v>221</v>
      </c>
      <c r="R29" s="85" t="s">
        <v>732</v>
      </c>
      <c r="S29" s="85" t="s">
        <v>733</v>
      </c>
      <c r="V29" s="85" t="s">
        <v>734</v>
      </c>
      <c r="X29" s="85" t="s">
        <v>735</v>
      </c>
      <c r="AA29" s="85" t="s">
        <v>736</v>
      </c>
    </row>
    <row r="30" spans="2:31" x14ac:dyDescent="0.25">
      <c r="B30" s="53"/>
      <c r="E30" s="53"/>
      <c r="F30" s="53" t="s">
        <v>284</v>
      </c>
      <c r="G30" s="98" t="s">
        <v>196</v>
      </c>
      <c r="H30" s="53" t="s">
        <v>196</v>
      </c>
      <c r="I30" s="53"/>
      <c r="K30" s="53" t="s">
        <v>308</v>
      </c>
      <c r="L30" s="53" t="s">
        <v>261</v>
      </c>
      <c r="M30" s="85" t="s">
        <v>231</v>
      </c>
      <c r="Q30" s="85" t="s">
        <v>709</v>
      </c>
      <c r="R30" s="85" t="s">
        <v>737</v>
      </c>
      <c r="S30" s="85" t="s">
        <v>247</v>
      </c>
      <c r="V30" s="85" t="s">
        <v>738</v>
      </c>
      <c r="X30" s="85" t="s">
        <v>598</v>
      </c>
      <c r="AA30" s="85" t="s">
        <v>739</v>
      </c>
    </row>
    <row r="31" spans="2:31" x14ac:dyDescent="0.25">
      <c r="B31" s="53"/>
      <c r="E31" s="53"/>
      <c r="F31" s="53" t="s">
        <v>580</v>
      </c>
      <c r="G31" s="98" t="s">
        <v>740</v>
      </c>
      <c r="H31" s="53" t="s">
        <v>698</v>
      </c>
      <c r="I31" s="53"/>
      <c r="K31" s="53" t="s">
        <v>314</v>
      </c>
      <c r="L31" s="53" t="s">
        <v>321</v>
      </c>
      <c r="M31" s="85" t="s">
        <v>234</v>
      </c>
      <c r="Q31" s="85" t="s">
        <v>741</v>
      </c>
      <c r="R31" s="85" t="s">
        <v>742</v>
      </c>
      <c r="S31" s="85" t="s">
        <v>585</v>
      </c>
      <c r="V31" s="85" t="s">
        <v>743</v>
      </c>
      <c r="X31" s="85" t="s">
        <v>613</v>
      </c>
      <c r="AA31" s="85" t="s">
        <v>744</v>
      </c>
    </row>
    <row r="32" spans="2:31" x14ac:dyDescent="0.25">
      <c r="B32" s="53"/>
      <c r="E32" s="53"/>
      <c r="F32" s="53" t="s">
        <v>273</v>
      </c>
      <c r="G32" s="98" t="s">
        <v>745</v>
      </c>
      <c r="H32" s="53" t="s">
        <v>702</v>
      </c>
      <c r="I32" s="53"/>
      <c r="K32" s="53" t="s">
        <v>313</v>
      </c>
      <c r="L32" s="53" t="s">
        <v>253</v>
      </c>
      <c r="M32" s="85" t="s">
        <v>233</v>
      </c>
      <c r="Q32" s="85" t="s">
        <v>746</v>
      </c>
      <c r="R32" s="85" t="s">
        <v>715</v>
      </c>
      <c r="S32" s="85" t="s">
        <v>598</v>
      </c>
      <c r="V32" s="85" t="s">
        <v>747</v>
      </c>
      <c r="AA32" s="85" t="s">
        <v>748</v>
      </c>
    </row>
    <row r="33" spans="2:27" x14ac:dyDescent="0.25">
      <c r="B33" s="53"/>
      <c r="E33" s="53"/>
      <c r="F33" s="53" t="s">
        <v>283</v>
      </c>
      <c r="G33" s="98" t="s">
        <v>731</v>
      </c>
      <c r="H33" s="53" t="s">
        <v>707</v>
      </c>
      <c r="I33" s="53"/>
      <c r="K33" s="53" t="s">
        <v>312</v>
      </c>
      <c r="L33" s="53" t="s">
        <v>252</v>
      </c>
      <c r="M33" s="85" t="s">
        <v>749</v>
      </c>
      <c r="Q33" s="85" t="s">
        <v>585</v>
      </c>
      <c r="R33" s="85" t="s">
        <v>720</v>
      </c>
      <c r="S33" s="85" t="s">
        <v>613</v>
      </c>
      <c r="V33" s="85" t="s">
        <v>750</v>
      </c>
      <c r="AA33" s="85" t="s">
        <v>751</v>
      </c>
    </row>
    <row r="34" spans="2:27" x14ac:dyDescent="0.25">
      <c r="B34" s="53"/>
      <c r="E34" s="53"/>
      <c r="F34" s="53" t="s">
        <v>275</v>
      </c>
      <c r="G34" s="98" t="s">
        <v>675</v>
      </c>
      <c r="H34" s="53" t="s">
        <v>255</v>
      </c>
      <c r="I34" s="53"/>
      <c r="K34" s="53" t="s">
        <v>752</v>
      </c>
      <c r="L34" s="53" t="s">
        <v>753</v>
      </c>
      <c r="M34" s="85" t="s">
        <v>754</v>
      </c>
      <c r="Q34" s="85" t="s">
        <v>598</v>
      </c>
      <c r="R34" s="85" t="s">
        <v>755</v>
      </c>
      <c r="V34" s="85" t="s">
        <v>756</v>
      </c>
      <c r="AA34" s="85" t="s">
        <v>757</v>
      </c>
    </row>
    <row r="35" spans="2:27" x14ac:dyDescent="0.25">
      <c r="B35" s="53"/>
      <c r="E35" s="53"/>
      <c r="F35" s="53" t="s">
        <v>272</v>
      </c>
      <c r="G35" s="98" t="s">
        <v>758</v>
      </c>
      <c r="H35" s="53" t="s">
        <v>254</v>
      </c>
      <c r="I35" s="53"/>
      <c r="K35" s="53" t="s">
        <v>759</v>
      </c>
      <c r="L35" s="53" t="s">
        <v>709</v>
      </c>
      <c r="M35" s="85" t="s">
        <v>585</v>
      </c>
      <c r="Q35" s="85" t="s">
        <v>613</v>
      </c>
      <c r="R35" s="85" t="s">
        <v>760</v>
      </c>
      <c r="V35" s="85" t="s">
        <v>761</v>
      </c>
      <c r="AA35" s="85" t="s">
        <v>762</v>
      </c>
    </row>
    <row r="36" spans="2:27" x14ac:dyDescent="0.25">
      <c r="B36" s="53"/>
      <c r="E36" s="53"/>
      <c r="F36" s="53" t="s">
        <v>282</v>
      </c>
      <c r="G36" s="98" t="s">
        <v>585</v>
      </c>
      <c r="H36" s="53" t="s">
        <v>261</v>
      </c>
      <c r="I36" s="53"/>
      <c r="K36" s="53" t="s">
        <v>289</v>
      </c>
      <c r="L36" s="53" t="s">
        <v>257</v>
      </c>
      <c r="M36" s="85" t="s">
        <v>763</v>
      </c>
      <c r="R36" s="85" t="s">
        <v>727</v>
      </c>
      <c r="V36" s="85" t="s">
        <v>764</v>
      </c>
      <c r="AA36" s="85" t="s">
        <v>765</v>
      </c>
    </row>
    <row r="37" spans="2:27" x14ac:dyDescent="0.25">
      <c r="B37" s="53"/>
      <c r="E37" s="53"/>
      <c r="F37" s="53" t="s">
        <v>271</v>
      </c>
      <c r="G37" s="98" t="s">
        <v>598</v>
      </c>
      <c r="H37" s="53" t="s">
        <v>262</v>
      </c>
      <c r="I37" s="53"/>
      <c r="K37" s="53" t="s">
        <v>269</v>
      </c>
      <c r="L37" s="53" t="s">
        <v>249</v>
      </c>
      <c r="M37" s="85" t="s">
        <v>598</v>
      </c>
      <c r="R37" s="85" t="s">
        <v>221</v>
      </c>
      <c r="V37" s="85" t="s">
        <v>766</v>
      </c>
      <c r="AA37" s="85" t="s">
        <v>767</v>
      </c>
    </row>
    <row r="38" spans="2:27" x14ac:dyDescent="0.25">
      <c r="B38" s="53"/>
      <c r="E38" s="53"/>
      <c r="F38" s="53" t="s">
        <v>768</v>
      </c>
      <c r="G38" s="98" t="s">
        <v>613</v>
      </c>
      <c r="H38" s="53" t="s">
        <v>580</v>
      </c>
      <c r="I38" s="53"/>
      <c r="K38" s="53" t="s">
        <v>189</v>
      </c>
      <c r="L38" s="53" t="s">
        <v>250</v>
      </c>
      <c r="M38" s="85" t="s">
        <v>613</v>
      </c>
      <c r="R38" s="85" t="s">
        <v>709</v>
      </c>
      <c r="V38" s="85" t="s">
        <v>769</v>
      </c>
      <c r="AA38" s="85" t="s">
        <v>770</v>
      </c>
    </row>
    <row r="39" spans="2:27" x14ac:dyDescent="0.25">
      <c r="B39" s="53"/>
      <c r="E39" s="53"/>
      <c r="F39" s="53" t="s">
        <v>280</v>
      </c>
      <c r="G39" s="98" t="s">
        <v>771</v>
      </c>
      <c r="H39" s="53" t="s">
        <v>253</v>
      </c>
      <c r="I39" s="53"/>
      <c r="K39" s="53" t="s">
        <v>190</v>
      </c>
      <c r="L39" s="53" t="s">
        <v>251</v>
      </c>
      <c r="R39" s="85" t="s">
        <v>772</v>
      </c>
      <c r="V39" s="85" t="s">
        <v>773</v>
      </c>
      <c r="AA39" s="85" t="s">
        <v>774</v>
      </c>
    </row>
    <row r="40" spans="2:27" x14ac:dyDescent="0.25">
      <c r="B40" s="53"/>
      <c r="E40" s="53"/>
      <c r="F40" s="53" t="s">
        <v>775</v>
      </c>
      <c r="G40" s="98" t="s">
        <v>776</v>
      </c>
      <c r="H40" s="53" t="s">
        <v>252</v>
      </c>
      <c r="I40" s="53"/>
      <c r="K40" s="53" t="s">
        <v>191</v>
      </c>
      <c r="L40" s="53" t="s">
        <v>777</v>
      </c>
      <c r="R40" s="85" t="s">
        <v>778</v>
      </c>
      <c r="V40" s="85" t="s">
        <v>585</v>
      </c>
      <c r="AA40" s="85" t="s">
        <v>585</v>
      </c>
    </row>
    <row r="41" spans="2:27" x14ac:dyDescent="0.25">
      <c r="B41" s="53"/>
      <c r="E41" s="53"/>
      <c r="F41" s="53" t="s">
        <v>779</v>
      </c>
      <c r="H41" s="53" t="s">
        <v>753</v>
      </c>
      <c r="I41" s="53"/>
      <c r="K41" s="53" t="s">
        <v>192</v>
      </c>
      <c r="L41" s="53" t="s">
        <v>780</v>
      </c>
      <c r="R41" s="85" t="s">
        <v>781</v>
      </c>
      <c r="V41" s="85" t="s">
        <v>598</v>
      </c>
      <c r="AA41" s="85" t="s">
        <v>782</v>
      </c>
    </row>
    <row r="42" spans="2:27" x14ac:dyDescent="0.25">
      <c r="B42" s="53"/>
      <c r="E42" s="53"/>
      <c r="F42" s="53" t="s">
        <v>585</v>
      </c>
      <c r="H42" s="53" t="s">
        <v>783</v>
      </c>
      <c r="I42" s="53"/>
      <c r="K42" s="53" t="s">
        <v>193</v>
      </c>
      <c r="L42" s="53" t="s">
        <v>328</v>
      </c>
      <c r="R42" s="85" t="s">
        <v>784</v>
      </c>
      <c r="V42" s="85" t="s">
        <v>613</v>
      </c>
      <c r="AA42" s="85" t="s">
        <v>785</v>
      </c>
    </row>
    <row r="43" spans="2:27" x14ac:dyDescent="0.25">
      <c r="B43" s="53"/>
      <c r="E43" s="53"/>
      <c r="F43" s="53" t="s">
        <v>281</v>
      </c>
      <c r="H43" s="53" t="s">
        <v>709</v>
      </c>
      <c r="I43" s="53"/>
      <c r="K43" s="53" t="s">
        <v>194</v>
      </c>
      <c r="L43" s="53" t="s">
        <v>247</v>
      </c>
      <c r="R43" s="85" t="s">
        <v>786</v>
      </c>
      <c r="AA43" s="85" t="s">
        <v>787</v>
      </c>
    </row>
    <row r="44" spans="2:27" x14ac:dyDescent="0.25">
      <c r="B44" s="53"/>
      <c r="E44" s="53"/>
      <c r="F44" s="53" t="s">
        <v>788</v>
      </c>
      <c r="H44" s="53" t="s">
        <v>257</v>
      </c>
      <c r="I44" s="53"/>
      <c r="K44" s="53" t="s">
        <v>195</v>
      </c>
      <c r="L44" s="53" t="s">
        <v>246</v>
      </c>
      <c r="R44" s="85" t="s">
        <v>789</v>
      </c>
      <c r="AA44" s="85" t="s">
        <v>598</v>
      </c>
    </row>
    <row r="45" spans="2:27" x14ac:dyDescent="0.25">
      <c r="B45" s="53"/>
      <c r="E45" s="53"/>
      <c r="F45" s="53" t="s">
        <v>790</v>
      </c>
      <c r="H45" s="53" t="s">
        <v>249</v>
      </c>
      <c r="I45" s="53"/>
      <c r="K45" s="53" t="s">
        <v>197</v>
      </c>
      <c r="L45" s="53" t="s">
        <v>327</v>
      </c>
      <c r="R45" s="85" t="s">
        <v>791</v>
      </c>
      <c r="AA45" s="85" t="s">
        <v>613</v>
      </c>
    </row>
    <row r="46" spans="2:27" x14ac:dyDescent="0.25">
      <c r="B46" s="53"/>
      <c r="E46" s="53"/>
      <c r="F46" s="53" t="s">
        <v>792</v>
      </c>
      <c r="H46" s="53" t="s">
        <v>250</v>
      </c>
      <c r="I46" s="53"/>
      <c r="K46" s="53" t="s">
        <v>196</v>
      </c>
      <c r="L46" s="53" t="s">
        <v>326</v>
      </c>
      <c r="R46" s="85" t="s">
        <v>793</v>
      </c>
      <c r="AA46" s="85" t="s">
        <v>187</v>
      </c>
    </row>
    <row r="47" spans="2:27" x14ac:dyDescent="0.25">
      <c r="B47" s="53"/>
      <c r="E47" s="53"/>
      <c r="F47" s="53" t="s">
        <v>598</v>
      </c>
      <c r="H47" s="53" t="s">
        <v>251</v>
      </c>
      <c r="I47" s="53"/>
      <c r="K47" s="53" t="s">
        <v>254</v>
      </c>
      <c r="L47" s="53" t="s">
        <v>585</v>
      </c>
      <c r="R47" s="85" t="s">
        <v>794</v>
      </c>
    </row>
    <row r="48" spans="2:27" x14ac:dyDescent="0.25">
      <c r="B48" s="53"/>
      <c r="E48" s="53"/>
      <c r="F48" s="53" t="s">
        <v>613</v>
      </c>
      <c r="H48" s="53" t="s">
        <v>777</v>
      </c>
      <c r="I48" s="53"/>
      <c r="K48" s="53" t="s">
        <v>261</v>
      </c>
      <c r="L48" s="53" t="s">
        <v>598</v>
      </c>
      <c r="R48" s="85" t="s">
        <v>795</v>
      </c>
    </row>
    <row r="49" spans="2:18" x14ac:dyDescent="0.25">
      <c r="B49" s="53"/>
      <c r="E49" s="53"/>
      <c r="F49" s="53" t="s">
        <v>796</v>
      </c>
      <c r="H49" s="53" t="s">
        <v>780</v>
      </c>
      <c r="I49" s="53"/>
      <c r="K49" s="53" t="s">
        <v>262</v>
      </c>
      <c r="L49" s="53" t="s">
        <v>613</v>
      </c>
      <c r="R49" s="85" t="s">
        <v>797</v>
      </c>
    </row>
    <row r="50" spans="2:18" x14ac:dyDescent="0.25">
      <c r="B50" s="53"/>
      <c r="E50" s="53"/>
      <c r="F50" s="53" t="s">
        <v>798</v>
      </c>
      <c r="H50" s="53" t="s">
        <v>266</v>
      </c>
      <c r="I50" s="53"/>
      <c r="K50" s="53" t="s">
        <v>637</v>
      </c>
      <c r="L50" s="53" t="s">
        <v>325</v>
      </c>
      <c r="R50" s="85" t="s">
        <v>746</v>
      </c>
    </row>
    <row r="51" spans="2:18" x14ac:dyDescent="0.25">
      <c r="B51" s="53"/>
      <c r="E51" s="53"/>
      <c r="F51" s="53" t="s">
        <v>799</v>
      </c>
      <c r="H51" s="53" t="s">
        <v>267</v>
      </c>
      <c r="I51" s="53"/>
      <c r="K51" s="53" t="s">
        <v>290</v>
      </c>
      <c r="L51" s="53" t="s">
        <v>329</v>
      </c>
      <c r="R51" s="85" t="s">
        <v>800</v>
      </c>
    </row>
    <row r="52" spans="2:18" x14ac:dyDescent="0.25">
      <c r="B52" s="53"/>
      <c r="E52" s="53"/>
      <c r="F52" s="53" t="s">
        <v>801</v>
      </c>
      <c r="H52" s="53" t="s">
        <v>268</v>
      </c>
      <c r="I52" s="53"/>
      <c r="K52" s="53" t="s">
        <v>580</v>
      </c>
      <c r="L52" s="53" t="s">
        <v>802</v>
      </c>
      <c r="R52" s="85" t="s">
        <v>247</v>
      </c>
    </row>
    <row r="53" spans="2:18" x14ac:dyDescent="0.25">
      <c r="B53" s="53"/>
      <c r="E53" s="53"/>
      <c r="F53" s="53" t="s">
        <v>803</v>
      </c>
      <c r="H53" s="53" t="s">
        <v>804</v>
      </c>
      <c r="I53" s="53"/>
      <c r="K53" s="53" t="s">
        <v>292</v>
      </c>
      <c r="L53" s="53" t="s">
        <v>805</v>
      </c>
      <c r="R53" s="85" t="s">
        <v>585</v>
      </c>
    </row>
    <row r="54" spans="2:18" x14ac:dyDescent="0.25">
      <c r="B54" s="53"/>
      <c r="E54" s="53"/>
      <c r="F54" s="53" t="s">
        <v>187</v>
      </c>
      <c r="H54" s="53" t="s">
        <v>806</v>
      </c>
      <c r="I54" s="53"/>
      <c r="K54" s="53" t="s">
        <v>293</v>
      </c>
      <c r="R54" s="85" t="s">
        <v>807</v>
      </c>
    </row>
    <row r="55" spans="2:18" x14ac:dyDescent="0.25">
      <c r="E55" s="53"/>
      <c r="H55" s="53" t="s">
        <v>247</v>
      </c>
      <c r="I55" s="53"/>
      <c r="K55" s="53" t="s">
        <v>808</v>
      </c>
      <c r="R55" s="85" t="s">
        <v>598</v>
      </c>
    </row>
    <row r="56" spans="2:18" x14ac:dyDescent="0.25">
      <c r="E56" s="53"/>
      <c r="H56" s="53" t="s">
        <v>246</v>
      </c>
      <c r="I56" s="53"/>
      <c r="K56" s="53" t="s">
        <v>809</v>
      </c>
      <c r="R56" s="85" t="s">
        <v>613</v>
      </c>
    </row>
    <row r="57" spans="2:18" x14ac:dyDescent="0.25">
      <c r="E57" s="53"/>
      <c r="H57" s="53" t="s">
        <v>585</v>
      </c>
      <c r="I57" s="53"/>
      <c r="K57" s="53" t="s">
        <v>294</v>
      </c>
      <c r="R57" s="85" t="s">
        <v>187</v>
      </c>
    </row>
    <row r="58" spans="2:18" x14ac:dyDescent="0.25">
      <c r="E58" s="53"/>
      <c r="H58" s="53" t="s">
        <v>264</v>
      </c>
      <c r="I58" s="53"/>
      <c r="K58" s="53" t="s">
        <v>297</v>
      </c>
    </row>
    <row r="59" spans="2:18" x14ac:dyDescent="0.25">
      <c r="E59" s="53"/>
      <c r="H59" s="85" t="s">
        <v>598</v>
      </c>
      <c r="K59" s="53" t="s">
        <v>296</v>
      </c>
    </row>
    <row r="60" spans="2:18" x14ac:dyDescent="0.25">
      <c r="E60" s="53"/>
      <c r="H60" s="85" t="s">
        <v>613</v>
      </c>
      <c r="K60" s="53" t="s">
        <v>295</v>
      </c>
    </row>
    <row r="61" spans="2:18" x14ac:dyDescent="0.25">
      <c r="E61" s="53"/>
      <c r="K61" s="53" t="s">
        <v>810</v>
      </c>
    </row>
    <row r="62" spans="2:18" x14ac:dyDescent="0.25">
      <c r="E62" s="53"/>
      <c r="K62" s="53" t="s">
        <v>811</v>
      </c>
    </row>
    <row r="63" spans="2:18" x14ac:dyDescent="0.25">
      <c r="E63" s="53"/>
      <c r="K63" s="53" t="s">
        <v>298</v>
      </c>
    </row>
    <row r="64" spans="2:18" x14ac:dyDescent="0.25">
      <c r="E64" s="53"/>
      <c r="K64" s="53" t="s">
        <v>299</v>
      </c>
    </row>
    <row r="65" spans="5:11" x14ac:dyDescent="0.25">
      <c r="E65" s="53"/>
      <c r="K65" s="53" t="s">
        <v>709</v>
      </c>
    </row>
    <row r="66" spans="5:11" x14ac:dyDescent="0.25">
      <c r="E66" s="53"/>
      <c r="K66" s="53" t="s">
        <v>257</v>
      </c>
    </row>
    <row r="67" spans="5:11" x14ac:dyDescent="0.25">
      <c r="E67" s="53"/>
      <c r="K67" s="53" t="s">
        <v>300</v>
      </c>
    </row>
    <row r="68" spans="5:11" x14ac:dyDescent="0.25">
      <c r="E68" s="53"/>
      <c r="K68" s="53" t="s">
        <v>812</v>
      </c>
    </row>
    <row r="69" spans="5:11" x14ac:dyDescent="0.25">
      <c r="E69" s="53"/>
      <c r="K69" s="53" t="s">
        <v>302</v>
      </c>
    </row>
    <row r="70" spans="5:11" x14ac:dyDescent="0.25">
      <c r="E70" s="53"/>
      <c r="K70" s="53" t="s">
        <v>301</v>
      </c>
    </row>
    <row r="71" spans="5:11" x14ac:dyDescent="0.25">
      <c r="E71" s="53"/>
      <c r="K71" s="53" t="s">
        <v>247</v>
      </c>
    </row>
    <row r="72" spans="5:11" x14ac:dyDescent="0.25">
      <c r="K72" s="53" t="s">
        <v>246</v>
      </c>
    </row>
    <row r="73" spans="5:11" x14ac:dyDescent="0.25">
      <c r="K73" s="53" t="s">
        <v>585</v>
      </c>
    </row>
    <row r="74" spans="5:11" x14ac:dyDescent="0.25">
      <c r="K74" s="53" t="s">
        <v>598</v>
      </c>
    </row>
    <row r="75" spans="5:11" x14ac:dyDescent="0.25">
      <c r="K75" s="53" t="s">
        <v>613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Signalliste</vt:lpstr>
      <vt:lpstr>StationModel</vt:lpstr>
      <vt:lpstr>Definitions</vt:lpstr>
      <vt:lpstr>AK DPE-Liste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Postolov Aleksandar</dc:creator>
  <cp:lastModifiedBy>Postolov Aleksandar</cp:lastModifiedBy>
  <dcterms:created xsi:type="dcterms:W3CDTF">2018-07-18T12:14:07Z</dcterms:created>
  <dcterms:modified xsi:type="dcterms:W3CDTF">2018-09-19T10:58:15Z</dcterms:modified>
</cp:coreProperties>
</file>